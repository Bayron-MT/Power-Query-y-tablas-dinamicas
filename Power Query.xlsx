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timelineCaches/timelineCache1.xml" ContentType="application/vnd.ms-excel.timelineCache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timelines/timeline1.xml" ContentType="application/vnd.ms-excel.timelin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UARIO\Downloads\"/>
    </mc:Choice>
  </mc:AlternateContent>
  <bookViews>
    <workbookView xWindow="0" yWindow="0" windowWidth="20490" windowHeight="8235" activeTab="3"/>
  </bookViews>
  <sheets>
    <sheet name="Precio total y precio unitario" sheetId="3" r:id="rId1"/>
    <sheet name="Pais que mas compra" sheetId="4" r:id="rId2"/>
    <sheet name="Promedio de compra por pais" sheetId="5" r:id="rId3"/>
    <sheet name="Hoja2" sheetId="2" r:id="rId4"/>
  </sheets>
  <definedNames>
    <definedName name="DatosExternos_1" localSheetId="3" hidden="1">Hoja2!$A$1:$G$47</definedName>
    <definedName name="NativeTimeline_Fecha">#N/A</definedName>
    <definedName name="SegmentaciónDeDatos_Pais">#N/A</definedName>
    <definedName name="SegmentaciónDeDatos_Producto">#N/A</definedName>
  </definedNames>
  <calcPr calcId="162913"/>
  <pivotCaches>
    <pivotCache cacheId="12" r:id="rId5"/>
  </pivotCaches>
  <fileRecoveryPr repairLoad="1"/>
  <extLst>
    <ext xmlns:x14="http://schemas.microsoft.com/office/spreadsheetml/2009/9/main" uri="{BBE1A952-AA13-448e-AADC-164F8A28A991}">
      <x14:slicerCaches>
        <x14:slicerCache r:id="rId6"/>
        <x14:slicerCache r:id="rId7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D0CA8CA8-9F24-4464-BF8E-62219DCF47F9}">
      <x15:timelineCacheRefs>
        <x15:timelineCacheRef r:id="rId8"/>
      </x15:timelineCacheRefs>
    </ex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2" i="2" l="1"/>
  <c r="H3" i="2" l="1"/>
  <c r="H4" i="2"/>
  <c r="H5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34" i="2"/>
  <c r="H35" i="2"/>
  <c r="H36" i="2"/>
  <c r="H37" i="2"/>
  <c r="H38" i="2"/>
  <c r="H39" i="2"/>
  <c r="H40" i="2"/>
  <c r="H41" i="2"/>
  <c r="H42" i="2"/>
  <c r="H43" i="2"/>
  <c r="H44" i="2"/>
  <c r="H45" i="2"/>
  <c r="H46" i="2"/>
  <c r="H47" i="2"/>
</calcChain>
</file>

<file path=xl/connections.xml><?xml version="1.0" encoding="utf-8"?>
<connections xmlns="http://schemas.openxmlformats.org/spreadsheetml/2006/main">
  <connection id="1" keepAlive="1" name="Consulta - datos_tecnologia" description="Conexión a la consulta 'datos_tecnologia' en el libro." type="5" refreshedVersion="6" background="1" saveData="1">
    <dbPr connection="Provider=Microsoft.Mashup.OleDb.1;Data Source=$Workbook$;Location=datos_tecnologia;Extended Properties=&quot;&quot;" command="SELECT * FROM [datos_tecnologia]"/>
  </connection>
</connections>
</file>

<file path=xl/sharedStrings.xml><?xml version="1.0" encoding="utf-8"?>
<sst xmlns="http://schemas.openxmlformats.org/spreadsheetml/2006/main" count="221" uniqueCount="117">
  <si>
    <t>ID_Pedido</t>
  </si>
  <si>
    <t>Fecha</t>
  </si>
  <si>
    <t>Cliente</t>
  </si>
  <si>
    <t>Producto</t>
  </si>
  <si>
    <t>Cantidad</t>
  </si>
  <si>
    <t>Precio_Unitario</t>
  </si>
  <si>
    <t>Pais</t>
  </si>
  <si>
    <t>P001</t>
  </si>
  <si>
    <t>Laptop Pro</t>
  </si>
  <si>
    <t>P002</t>
  </si>
  <si>
    <t>Smartphone X</t>
  </si>
  <si>
    <t>Mexico</t>
  </si>
  <si>
    <t>P003</t>
  </si>
  <si>
    <t>Teclado Mecanico</t>
  </si>
  <si>
    <t>Colombia</t>
  </si>
  <si>
    <t>P004</t>
  </si>
  <si>
    <t>Monitor 4K</t>
  </si>
  <si>
    <t>P005</t>
  </si>
  <si>
    <t>Jorge Ramires</t>
  </si>
  <si>
    <t>Zapatillas Run</t>
  </si>
  <si>
    <t>Argentina</t>
  </si>
  <si>
    <t>P006</t>
  </si>
  <si>
    <t>Mouse Inalambrico</t>
  </si>
  <si>
    <t>P007</t>
  </si>
  <si>
    <t>Pedro Infante</t>
  </si>
  <si>
    <t>P008</t>
  </si>
  <si>
    <t>P009</t>
  </si>
  <si>
    <t>Chile</t>
  </si>
  <si>
    <t>P010</t>
  </si>
  <si>
    <t>Elena Belmonte</t>
  </si>
  <si>
    <t>P011</t>
  </si>
  <si>
    <t>P012</t>
  </si>
  <si>
    <t>Andres Calamaro</t>
  </si>
  <si>
    <t>P013</t>
  </si>
  <si>
    <t>P014</t>
  </si>
  <si>
    <t>P015</t>
  </si>
  <si>
    <t>Karina Tejeda</t>
  </si>
  <si>
    <t>P016</t>
  </si>
  <si>
    <t>P017</t>
  </si>
  <si>
    <t>Natalia Oreiro</t>
  </si>
  <si>
    <t>P018</t>
  </si>
  <si>
    <t>P019</t>
  </si>
  <si>
    <t>P020</t>
  </si>
  <si>
    <t>P021</t>
  </si>
  <si>
    <t>Fito Paez</t>
  </si>
  <si>
    <t>P022</t>
  </si>
  <si>
    <t>Mon Laferte</t>
  </si>
  <si>
    <t>P023</t>
  </si>
  <si>
    <t>P024</t>
  </si>
  <si>
    <t>P025</t>
  </si>
  <si>
    <t>P026</t>
  </si>
  <si>
    <t>Daddy Yankee</t>
  </si>
  <si>
    <t>P027</t>
  </si>
  <si>
    <t>Don Omar</t>
  </si>
  <si>
    <t>P028</t>
  </si>
  <si>
    <t>P029</t>
  </si>
  <si>
    <t>P030</t>
  </si>
  <si>
    <t>P031</t>
  </si>
  <si>
    <t>Maluma Baby</t>
  </si>
  <si>
    <t>P032</t>
  </si>
  <si>
    <t>Ozuna Simpson</t>
  </si>
  <si>
    <t>P033</t>
  </si>
  <si>
    <t>P034</t>
  </si>
  <si>
    <t>P035</t>
  </si>
  <si>
    <t>Nicky Jam</t>
  </si>
  <si>
    <t>P036</t>
  </si>
  <si>
    <t>Camilo Echeverry</t>
  </si>
  <si>
    <t>P037</t>
  </si>
  <si>
    <t>P038</t>
  </si>
  <si>
    <t>P039</t>
  </si>
  <si>
    <t>Sebastian Yatra</t>
  </si>
  <si>
    <t>P040</t>
  </si>
  <si>
    <t>P041</t>
  </si>
  <si>
    <t>P042</t>
  </si>
  <si>
    <t>P043</t>
  </si>
  <si>
    <t>Natti Natasha</t>
  </si>
  <si>
    <t>P044</t>
  </si>
  <si>
    <t>Enrique Iglesias</t>
  </si>
  <si>
    <t>P045</t>
  </si>
  <si>
    <t>P046</t>
  </si>
  <si>
    <t>Carlos Mendoza</t>
  </si>
  <si>
    <t>España</t>
  </si>
  <si>
    <t>Ana Maria Silva</t>
  </si>
  <si>
    <t>Luis Gonzalez</t>
  </si>
  <si>
    <t>Marta Gomez</t>
  </si>
  <si>
    <t>Sofia Castro</t>
  </si>
  <si>
    <t>Lucia Fernandez</t>
  </si>
  <si>
    <t>Raul Benitez</t>
  </si>
  <si>
    <t>Diego Maradona</t>
  </si>
  <si>
    <t>Maria Becerra</t>
  </si>
  <si>
    <t>Juan Perez</t>
  </si>
  <si>
    <t>Ricardo Darin</t>
  </si>
  <si>
    <t>Charly Garcia</t>
  </si>
  <si>
    <t>Gustavo Cerati</t>
  </si>
  <si>
    <t>Shakira Mebarak</t>
  </si>
  <si>
    <t>Luis Miguel</t>
  </si>
  <si>
    <t>Alejandro Sanz</t>
  </si>
  <si>
    <t>Paulina Rubio</t>
  </si>
  <si>
    <t>Bad Bunny</t>
  </si>
  <si>
    <t>Rosalia Vila</t>
  </si>
  <si>
    <t>J Balvin</t>
  </si>
  <si>
    <t>Anuel Aa</t>
  </si>
  <si>
    <t>Karol G</t>
  </si>
  <si>
    <t>Evaluna Montaner</t>
  </si>
  <si>
    <t>Christian Nodal</t>
  </si>
  <si>
    <t>Tini Stoessel</t>
  </si>
  <si>
    <t>Becky G</t>
  </si>
  <si>
    <t>Chayanne Figueroa</t>
  </si>
  <si>
    <t>Luis Fonsi</t>
  </si>
  <si>
    <t>Cantidad_Total</t>
  </si>
  <si>
    <t>(en blanco)</t>
  </si>
  <si>
    <t>Total general</t>
  </si>
  <si>
    <t>Etiquetas de fila</t>
  </si>
  <si>
    <t>Suma de Cantidad_Total</t>
  </si>
  <si>
    <t>Suma de Precio_Unitario</t>
  </si>
  <si>
    <t>Suma de Cantidad</t>
  </si>
  <si>
    <t>Promedio de Precio_Unitario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</si>
</sst>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4" fontId="0" fillId="0" borderId="0" xfId="0" applyNumberFormat="1"/>
    <xf numFmtId="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</cellXfs>
  <cellStyles count="1">
    <cellStyle name="Normal" xfId="0" builtinId="0"/>
  </cellStyles>
  <dxfs count="8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/mm/yyyy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1/relationships/timelineCache" Target="timelineCaches/timelineCache1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07/relationships/slicerCache" Target="slicerCaches/slicerCache2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07/relationships/slicerCache" Target="slicerCaches/slicerCache1.xml"/><Relationship Id="rId11" Type="http://schemas.openxmlformats.org/officeDocument/2006/relationships/styles" Target="styles.xml"/><Relationship Id="rId5" Type="http://schemas.openxmlformats.org/officeDocument/2006/relationships/pivotCacheDefinition" Target="pivotCache/pivotCacheDefinition1.xml"/><Relationship Id="rId10" Type="http://schemas.openxmlformats.org/officeDocument/2006/relationships/connections" Target="connection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[Power Query.xlsx]Precio total y precio unitario!TablaDinámica1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4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4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4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4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4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4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4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4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4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4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5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5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5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5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5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5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5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5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5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5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6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6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6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6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6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6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6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6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6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6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7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7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7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7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7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7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7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7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7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7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8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8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8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8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8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8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8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8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8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8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9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9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9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9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9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9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9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9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9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9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0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0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0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'Precio total y precio unitario'!$B$1</c:f>
              <c:strCache>
                <c:ptCount val="1"/>
                <c:pt idx="0">
                  <c:v>Suma de Precio_Unitario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'Precio total y precio unitario'!$A$2:$A$9</c:f>
              <c:strCache>
                <c:ptCount val="7"/>
                <c:pt idx="0">
                  <c:v>Laptop Pro</c:v>
                </c:pt>
                <c:pt idx="1">
                  <c:v>Monitor 4K</c:v>
                </c:pt>
                <c:pt idx="2">
                  <c:v>Mouse Inalambrico</c:v>
                </c:pt>
                <c:pt idx="3">
                  <c:v>Smartphone X</c:v>
                </c:pt>
                <c:pt idx="4">
                  <c:v>Teclado Mecanico</c:v>
                </c:pt>
                <c:pt idx="5">
                  <c:v>Zapatillas Run</c:v>
                </c:pt>
                <c:pt idx="6">
                  <c:v>(en blanco)</c:v>
                </c:pt>
              </c:strCache>
            </c:strRef>
          </c:cat>
          <c:val>
            <c:numRef>
              <c:f>'Precio total y precio unitario'!$B$2:$B$9</c:f>
              <c:numCache>
                <c:formatCode>General</c:formatCode>
                <c:ptCount val="7"/>
                <c:pt idx="0">
                  <c:v>9600</c:v>
                </c:pt>
                <c:pt idx="1">
                  <c:v>3200</c:v>
                </c:pt>
                <c:pt idx="2">
                  <c:v>350</c:v>
                </c:pt>
                <c:pt idx="3">
                  <c:v>6400</c:v>
                </c:pt>
                <c:pt idx="4">
                  <c:v>1200</c:v>
                </c:pt>
                <c:pt idx="5">
                  <c:v>840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C8-C37A-4020-96A8-F88CC89A668B}"/>
            </c:ext>
          </c:extLst>
        </c:ser>
        <c:ser>
          <c:idx val="1"/>
          <c:order val="1"/>
          <c:tx>
            <c:strRef>
              <c:f>'Precio total y precio unitario'!$C$1</c:f>
              <c:strCache>
                <c:ptCount val="1"/>
                <c:pt idx="0">
                  <c:v>Suma de Cantidad_Total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'Precio total y precio unitario'!$A$2:$A$9</c:f>
              <c:strCache>
                <c:ptCount val="7"/>
                <c:pt idx="0">
                  <c:v>Laptop Pro</c:v>
                </c:pt>
                <c:pt idx="1">
                  <c:v>Monitor 4K</c:v>
                </c:pt>
                <c:pt idx="2">
                  <c:v>Mouse Inalambrico</c:v>
                </c:pt>
                <c:pt idx="3">
                  <c:v>Smartphone X</c:v>
                </c:pt>
                <c:pt idx="4">
                  <c:v>Teclado Mecanico</c:v>
                </c:pt>
                <c:pt idx="5">
                  <c:v>Zapatillas Run</c:v>
                </c:pt>
                <c:pt idx="6">
                  <c:v>(en blanco)</c:v>
                </c:pt>
              </c:strCache>
            </c:strRef>
          </c:cat>
          <c:val>
            <c:numRef>
              <c:f>'Precio total y precio unitario'!$C$2:$C$9</c:f>
              <c:numCache>
                <c:formatCode>General</c:formatCode>
                <c:ptCount val="7"/>
                <c:pt idx="0">
                  <c:v>12000</c:v>
                </c:pt>
                <c:pt idx="1">
                  <c:v>4400</c:v>
                </c:pt>
                <c:pt idx="2">
                  <c:v>750</c:v>
                </c:pt>
                <c:pt idx="3">
                  <c:v>8000</c:v>
                </c:pt>
                <c:pt idx="4">
                  <c:v>2250</c:v>
                </c:pt>
                <c:pt idx="5">
                  <c:v>1200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C9-C37A-4020-96A8-F88CC89A668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07604223"/>
        <c:axId val="707610463"/>
      </c:barChart>
      <c:catAx>
        <c:axId val="7076042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707610463"/>
        <c:crosses val="autoZero"/>
        <c:auto val="1"/>
        <c:lblAlgn val="ctr"/>
        <c:lblOffset val="100"/>
        <c:noMultiLvlLbl val="0"/>
      </c:catAx>
      <c:valAx>
        <c:axId val="7076104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70760422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PE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PE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[Power Query.xlsx]Pais que mas compra!TablaDinámica2</c:name>
    <c:fmtId val="0"/>
  </c:pivotSource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PE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'Pais que mas compra'!$B$1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'Pais que mas compra'!$A$2:$A$8</c:f>
              <c:strCache>
                <c:ptCount val="6"/>
                <c:pt idx="0">
                  <c:v>Argentina</c:v>
                </c:pt>
                <c:pt idx="1">
                  <c:v>Chile</c:v>
                </c:pt>
                <c:pt idx="2">
                  <c:v>Colombia</c:v>
                </c:pt>
                <c:pt idx="3">
                  <c:v>España</c:v>
                </c:pt>
                <c:pt idx="4">
                  <c:v>Mexico</c:v>
                </c:pt>
                <c:pt idx="5">
                  <c:v>(en blanco)</c:v>
                </c:pt>
              </c:strCache>
            </c:strRef>
          </c:cat>
          <c:val>
            <c:numRef>
              <c:f>'Pais que mas compra'!$B$2:$B$8</c:f>
              <c:numCache>
                <c:formatCode>General</c:formatCode>
                <c:ptCount val="6"/>
                <c:pt idx="0">
                  <c:v>12</c:v>
                </c:pt>
                <c:pt idx="1">
                  <c:v>18</c:v>
                </c:pt>
                <c:pt idx="2">
                  <c:v>13</c:v>
                </c:pt>
                <c:pt idx="3">
                  <c:v>11</c:v>
                </c:pt>
                <c:pt idx="4">
                  <c:v>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1CA-4DA8-BA1A-72EFD1F55E4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07613375"/>
        <c:axId val="707617951"/>
      </c:barChart>
      <c:catAx>
        <c:axId val="70761337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707617951"/>
        <c:crosses val="autoZero"/>
        <c:auto val="1"/>
        <c:lblAlgn val="ctr"/>
        <c:lblOffset val="100"/>
        <c:noMultiLvlLbl val="0"/>
      </c:catAx>
      <c:valAx>
        <c:axId val="7076179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70761337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PE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PE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[Power Query.xlsx]Promedio de compra por pais!TablaDinámica3</c:name>
    <c:fmtId val="0"/>
  </c:pivotSource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PE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'Promedio de compra por pais'!$B$1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'Promedio de compra por pais'!$A$2:$A$8</c:f>
              <c:strCache>
                <c:ptCount val="6"/>
                <c:pt idx="0">
                  <c:v>Argentina</c:v>
                </c:pt>
                <c:pt idx="1">
                  <c:v>Chile</c:v>
                </c:pt>
                <c:pt idx="2">
                  <c:v>Colombia</c:v>
                </c:pt>
                <c:pt idx="3">
                  <c:v>España</c:v>
                </c:pt>
                <c:pt idx="4">
                  <c:v>Mexico</c:v>
                </c:pt>
                <c:pt idx="5">
                  <c:v>(en blanco)</c:v>
                </c:pt>
              </c:strCache>
            </c:strRef>
          </c:cat>
          <c:val>
            <c:numRef>
              <c:f>'Promedio de compra por pais'!$B$2:$B$8</c:f>
              <c:numCache>
                <c:formatCode>General</c:formatCode>
                <c:ptCount val="6"/>
                <c:pt idx="0">
                  <c:v>243.75</c:v>
                </c:pt>
                <c:pt idx="1">
                  <c:v>238.88888888888889</c:v>
                </c:pt>
                <c:pt idx="2">
                  <c:v>535.55555555555554</c:v>
                </c:pt>
                <c:pt idx="3">
                  <c:v>752</c:v>
                </c:pt>
                <c:pt idx="4">
                  <c:v>515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CE0-4B13-809D-EC896247298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6896047"/>
        <c:axId val="66894383"/>
      </c:barChart>
      <c:catAx>
        <c:axId val="6689604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66894383"/>
        <c:crosses val="autoZero"/>
        <c:auto val="1"/>
        <c:lblAlgn val="ctr"/>
        <c:lblOffset val="100"/>
        <c:noMultiLvlLbl val="0"/>
      </c:catAx>
      <c:valAx>
        <c:axId val="668943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6689604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PE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PE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12</xdr:row>
      <xdr:rowOff>179294</xdr:rowOff>
    </xdr:from>
    <xdr:to>
      <xdr:col>7</xdr:col>
      <xdr:colOff>452437</xdr:colOff>
      <xdr:row>27</xdr:row>
      <xdr:rowOff>64994</xdr:rowOff>
    </xdr:to>
    <xdr:graphicFrame macro="">
      <xdr:nvGraphicFramePr>
        <xdr:cNvPr id="2" name="Gráfico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3</xdr:col>
      <xdr:colOff>1624853</xdr:colOff>
      <xdr:row>0</xdr:row>
      <xdr:rowOff>0</xdr:rowOff>
    </xdr:from>
    <xdr:to>
      <xdr:col>6</xdr:col>
      <xdr:colOff>583826</xdr:colOff>
      <xdr:row>11</xdr:row>
      <xdr:rowOff>11205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3" name="Producto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Producto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597774" y="0"/>
              <a:ext cx="1532964" cy="210670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PE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 editAs="oneCell">
    <xdr:from>
      <xdr:col>6</xdr:col>
      <xdr:colOff>922804</xdr:colOff>
      <xdr:row>0</xdr:row>
      <xdr:rowOff>0</xdr:rowOff>
    </xdr:from>
    <xdr:to>
      <xdr:col>10</xdr:col>
      <xdr:colOff>58831</xdr:colOff>
      <xdr:row>10</xdr:row>
      <xdr:rowOff>145116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4" name="Pais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Pais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6469716" y="0"/>
              <a:ext cx="1679762" cy="2050116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PE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38100</xdr:colOff>
      <xdr:row>0</xdr:row>
      <xdr:rowOff>66675</xdr:rowOff>
    </xdr:from>
    <xdr:to>
      <xdr:col>9</xdr:col>
      <xdr:colOff>38100</xdr:colOff>
      <xdr:row>14</xdr:row>
      <xdr:rowOff>142875</xdr:rowOff>
    </xdr:to>
    <xdr:graphicFrame macro="">
      <xdr:nvGraphicFramePr>
        <xdr:cNvPr id="2" name="Gráfico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19050</xdr:colOff>
      <xdr:row>8</xdr:row>
      <xdr:rowOff>180975</xdr:rowOff>
    </xdr:from>
    <xdr:to>
      <xdr:col>2</xdr:col>
      <xdr:colOff>9525</xdr:colOff>
      <xdr:row>15</xdr:row>
      <xdr:rowOff>123824</xdr:rowOff>
    </xdr:to>
    <mc:AlternateContent xmlns:mc="http://schemas.openxmlformats.org/markup-compatibility/2006">
      <mc:Choice xmlns:tsle="http://schemas.microsoft.com/office/drawing/2012/timeslicer" Requires="tsle">
        <xdr:graphicFrame macro="">
          <xdr:nvGraphicFramePr>
            <xdr:cNvPr id="3" name="Fecha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2/timeslicer">
              <tsle:timeslicer xmlns:tsle="http://schemas.microsoft.com/office/drawing/2012/timeslicer" name="Fecha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9050" y="1704975"/>
              <a:ext cx="2295525" cy="1276349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PE" sz="1100"/>
                <a:t>Escala de tiempo: funciona en Excel o versiones posteriores. No la mueva ni cambie su tamaño.</a:t>
              </a:r>
            </a:p>
          </xdr:txBody>
        </xdr:sp>
      </mc:Fallback>
    </mc:AlternateContent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1</xdr:row>
      <xdr:rowOff>0</xdr:rowOff>
    </xdr:from>
    <xdr:to>
      <xdr:col>10</xdr:col>
      <xdr:colOff>0</xdr:colOff>
      <xdr:row>15</xdr:row>
      <xdr:rowOff>76200</xdr:rowOff>
    </xdr:to>
    <xdr:graphicFrame macro="">
      <xdr:nvGraphicFramePr>
        <xdr:cNvPr id="2" name="Gráfico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USUARIO" refreshedDate="46192.69738391204" createdVersion="6" refreshedVersion="6" minRefreshableVersion="3" recordCount="47">
  <cacheSource type="worksheet">
    <worksheetSource ref="A1:H1048576" sheet="Hoja2"/>
  </cacheSource>
  <cacheFields count="8">
    <cacheField name="ID_Pedido" numFmtId="0">
      <sharedItems containsBlank="1" count="47">
        <s v="P001"/>
        <s v="P002"/>
        <s v="P003"/>
        <s v="P004"/>
        <s v="P005"/>
        <s v="P006"/>
        <s v="P007"/>
        <s v="P008"/>
        <s v="P009"/>
        <s v="P010"/>
        <s v="P011"/>
        <s v="P012"/>
        <s v="P013"/>
        <s v="P014"/>
        <s v="P015"/>
        <s v="P016"/>
        <s v="P017"/>
        <s v="P018"/>
        <s v="P019"/>
        <s v="P020"/>
        <s v="P021"/>
        <s v="P022"/>
        <s v="P023"/>
        <s v="P024"/>
        <s v="P025"/>
        <s v="P026"/>
        <s v="P027"/>
        <s v="P028"/>
        <s v="P029"/>
        <s v="P030"/>
        <s v="P031"/>
        <s v="P032"/>
        <s v="P033"/>
        <s v="P034"/>
        <s v="P035"/>
        <s v="P036"/>
        <s v="P037"/>
        <s v="P038"/>
        <s v="P039"/>
        <s v="P040"/>
        <s v="P041"/>
        <s v="P042"/>
        <s v="P043"/>
        <s v="P044"/>
        <s v="P045"/>
        <s v="P046"/>
        <m/>
      </sharedItems>
    </cacheField>
    <cacheField name="Fecha" numFmtId="0">
      <sharedItems containsNonDate="0" containsDate="1" containsString="0" containsBlank="1" minDate="2026-05-01T00:00:00" maxDate="2026-06-16T00:00:00" count="47">
        <d v="2026-05-01T00:00:00"/>
        <d v="2026-05-02T00:00:00"/>
        <d v="2026-05-03T00:00:00"/>
        <d v="2026-05-04T00:00:00"/>
        <d v="2026-05-05T00:00:00"/>
        <d v="2026-05-06T00:00:00"/>
        <d v="2026-05-07T00:00:00"/>
        <d v="2026-05-08T00:00:00"/>
        <d v="2026-05-09T00:00:00"/>
        <d v="2026-05-10T00:00:00"/>
        <d v="2026-05-11T00:00:00"/>
        <d v="2026-05-12T00:00:00"/>
        <d v="2026-05-13T00:00:00"/>
        <d v="2026-05-14T00:00:00"/>
        <d v="2026-05-15T00:00:00"/>
        <d v="2026-05-16T00:00:00"/>
        <d v="2026-05-17T00:00:00"/>
        <d v="2026-05-18T00:00:00"/>
        <d v="2026-05-19T00:00:00"/>
        <d v="2026-05-20T00:00:00"/>
        <d v="2026-05-21T00:00:00"/>
        <d v="2026-05-22T00:00:00"/>
        <d v="2026-05-23T00:00:00"/>
        <d v="2026-05-24T00:00:00"/>
        <d v="2026-05-25T00:00:00"/>
        <d v="2026-05-26T00:00:00"/>
        <d v="2026-05-27T00:00:00"/>
        <d v="2026-05-28T00:00:00"/>
        <d v="2026-05-29T00:00:00"/>
        <d v="2026-05-30T00:00:00"/>
        <d v="2026-05-31T00:00:00"/>
        <d v="2026-06-01T00:00:00"/>
        <d v="2026-06-02T00:00:00"/>
        <d v="2026-06-03T00:00:00"/>
        <d v="2026-06-04T00:00:00"/>
        <d v="2026-06-05T00:00:00"/>
        <d v="2026-06-06T00:00:00"/>
        <d v="2026-06-07T00:00:00"/>
        <d v="2026-06-08T00:00:00"/>
        <d v="2026-06-09T00:00:00"/>
        <d v="2026-06-10T00:00:00"/>
        <d v="2026-06-11T00:00:00"/>
        <d v="2026-06-12T00:00:00"/>
        <d v="2026-06-13T00:00:00"/>
        <d v="2026-06-14T00:00:00"/>
        <d v="2026-06-15T00:00:00"/>
        <m/>
      </sharedItems>
    </cacheField>
    <cacheField name="Cliente" numFmtId="0">
      <sharedItems containsBlank="1" count="46">
        <s v="Carlos Mendoza"/>
        <s v="Ana Maria Silva"/>
        <s v="Luis Gonzalez"/>
        <s v="Marta Gomez"/>
        <s v="Jorge Ramires"/>
        <s v="Sofia Castro"/>
        <s v="Pedro Infante"/>
        <s v="Lucia Fernandez"/>
        <s v="Raul Benitez"/>
        <s v="Elena Belmonte"/>
        <s v="Diego Maradona"/>
        <s v="Andres Calamaro"/>
        <s v="Maria Becerra"/>
        <s v="Juan Perez"/>
        <s v="Karina Tejeda"/>
        <s v="Ricardo Darin"/>
        <s v="Natalia Oreiro"/>
        <s v="Charly Garcia"/>
        <s v="Gustavo Cerati"/>
        <s v="Shakira Mebarak"/>
        <s v="Fito Paez"/>
        <s v="Mon Laferte"/>
        <s v="Luis Miguel"/>
        <s v="Alejandro Sanz"/>
        <s v="Paulina Rubio"/>
        <s v="Daddy Yankee"/>
        <s v="Don Omar"/>
        <s v="Bad Bunny"/>
        <s v="Rosalia Vila"/>
        <s v="J Balvin"/>
        <s v="Maluma Baby"/>
        <s v="Ozuna Simpson"/>
        <s v="Anuel Aa"/>
        <s v="Karol G"/>
        <s v="Nicky Jam"/>
        <s v="Camilo Echeverry"/>
        <s v="Evaluna Montaner"/>
        <s v="Christian Nodal"/>
        <s v="Sebastian Yatra"/>
        <s v="Tini Stoessel"/>
        <s v="Becky G"/>
        <s v="Natti Natasha"/>
        <s v="Enrique Iglesias"/>
        <s v="Chayanne Figueroa"/>
        <s v="Luis Fonsi"/>
        <m/>
      </sharedItems>
    </cacheField>
    <cacheField name="Producto" numFmtId="0">
      <sharedItems containsBlank="1" count="7">
        <s v="Laptop Pro"/>
        <s v="Smartphone X"/>
        <s v="Teclado Mecanico"/>
        <s v="Monitor 4K"/>
        <s v="Zapatillas Run"/>
        <s v="Mouse Inalambrico"/>
        <m/>
      </sharedItems>
    </cacheField>
    <cacheField name="Cantidad" numFmtId="0">
      <sharedItems containsString="0" containsBlank="1" containsNumber="1" containsInteger="1" minValue="1" maxValue="4" count="5">
        <n v="1"/>
        <n v="2"/>
        <n v="3"/>
        <n v="4"/>
        <m/>
      </sharedItems>
    </cacheField>
    <cacheField name="Precio_Unitario" numFmtId="0">
      <sharedItems containsString="0" containsBlank="1" containsNumber="1" containsInteger="1" minValue="50" maxValue="1200" count="7">
        <n v="1200"/>
        <n v="800"/>
        <n v="150"/>
        <n v="400"/>
        <n v="120"/>
        <n v="50"/>
        <m/>
      </sharedItems>
    </cacheField>
    <cacheField name="Pais" numFmtId="0">
      <sharedItems containsBlank="1" count="6">
        <s v="España"/>
        <s v="Mexico"/>
        <s v="Colombia"/>
        <s v="Argentina"/>
        <s v="Chile"/>
        <m/>
      </sharedItems>
    </cacheField>
    <cacheField name="Cantidad_Total" numFmtId="0">
      <sharedItems containsString="0" containsBlank="1" containsNumber="1" containsInteger="1" minValue="50" maxValue="2400" count="14">
        <n v="1200"/>
        <n v="800"/>
        <n v="300"/>
        <n v="400"/>
        <n v="120"/>
        <n v="150"/>
        <n v="240"/>
        <n v="200"/>
        <n v="1600"/>
        <n v="50"/>
        <n v="100"/>
        <n v="2400"/>
        <n v="450"/>
        <m/>
      </sharedItems>
    </cacheField>
  </cacheFields>
  <extLst>
    <ext xmlns:x14="http://schemas.microsoft.com/office/spreadsheetml/2009/9/main" uri="{725AE2AE-9491-48be-B2B4-4EB974FC3084}">
      <x14:pivotCacheDefinition pivotCacheId="1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47">
  <r>
    <x v="0"/>
    <x v="0"/>
    <x v="0"/>
    <x v="0"/>
    <x v="0"/>
    <x v="0"/>
    <x v="0"/>
    <x v="0"/>
  </r>
  <r>
    <x v="1"/>
    <x v="1"/>
    <x v="1"/>
    <x v="1"/>
    <x v="0"/>
    <x v="1"/>
    <x v="1"/>
    <x v="1"/>
  </r>
  <r>
    <x v="2"/>
    <x v="2"/>
    <x v="2"/>
    <x v="2"/>
    <x v="1"/>
    <x v="2"/>
    <x v="2"/>
    <x v="2"/>
  </r>
  <r>
    <x v="3"/>
    <x v="3"/>
    <x v="3"/>
    <x v="3"/>
    <x v="0"/>
    <x v="3"/>
    <x v="0"/>
    <x v="3"/>
  </r>
  <r>
    <x v="4"/>
    <x v="4"/>
    <x v="4"/>
    <x v="4"/>
    <x v="0"/>
    <x v="4"/>
    <x v="3"/>
    <x v="4"/>
  </r>
  <r>
    <x v="5"/>
    <x v="5"/>
    <x v="5"/>
    <x v="5"/>
    <x v="2"/>
    <x v="5"/>
    <x v="1"/>
    <x v="5"/>
  </r>
  <r>
    <x v="6"/>
    <x v="6"/>
    <x v="6"/>
    <x v="1"/>
    <x v="0"/>
    <x v="1"/>
    <x v="2"/>
    <x v="1"/>
  </r>
  <r>
    <x v="7"/>
    <x v="7"/>
    <x v="7"/>
    <x v="2"/>
    <x v="0"/>
    <x v="2"/>
    <x v="0"/>
    <x v="5"/>
  </r>
  <r>
    <x v="8"/>
    <x v="8"/>
    <x v="8"/>
    <x v="3"/>
    <x v="1"/>
    <x v="3"/>
    <x v="4"/>
    <x v="1"/>
  </r>
  <r>
    <x v="9"/>
    <x v="9"/>
    <x v="9"/>
    <x v="0"/>
    <x v="0"/>
    <x v="0"/>
    <x v="1"/>
    <x v="0"/>
  </r>
  <r>
    <x v="10"/>
    <x v="10"/>
    <x v="10"/>
    <x v="4"/>
    <x v="1"/>
    <x v="4"/>
    <x v="3"/>
    <x v="6"/>
  </r>
  <r>
    <x v="11"/>
    <x v="11"/>
    <x v="11"/>
    <x v="5"/>
    <x v="3"/>
    <x v="5"/>
    <x v="4"/>
    <x v="7"/>
  </r>
  <r>
    <x v="12"/>
    <x v="12"/>
    <x v="12"/>
    <x v="0"/>
    <x v="0"/>
    <x v="0"/>
    <x v="0"/>
    <x v="0"/>
  </r>
  <r>
    <x v="13"/>
    <x v="13"/>
    <x v="13"/>
    <x v="1"/>
    <x v="1"/>
    <x v="1"/>
    <x v="1"/>
    <x v="8"/>
  </r>
  <r>
    <x v="14"/>
    <x v="14"/>
    <x v="14"/>
    <x v="3"/>
    <x v="0"/>
    <x v="3"/>
    <x v="2"/>
    <x v="3"/>
  </r>
  <r>
    <x v="15"/>
    <x v="15"/>
    <x v="15"/>
    <x v="4"/>
    <x v="0"/>
    <x v="4"/>
    <x v="3"/>
    <x v="4"/>
  </r>
  <r>
    <x v="16"/>
    <x v="16"/>
    <x v="16"/>
    <x v="5"/>
    <x v="0"/>
    <x v="5"/>
    <x v="4"/>
    <x v="9"/>
  </r>
  <r>
    <x v="17"/>
    <x v="17"/>
    <x v="17"/>
    <x v="0"/>
    <x v="0"/>
    <x v="0"/>
    <x v="0"/>
    <x v="0"/>
  </r>
  <r>
    <x v="18"/>
    <x v="18"/>
    <x v="18"/>
    <x v="1"/>
    <x v="0"/>
    <x v="1"/>
    <x v="3"/>
    <x v="1"/>
  </r>
  <r>
    <x v="19"/>
    <x v="19"/>
    <x v="19"/>
    <x v="2"/>
    <x v="1"/>
    <x v="2"/>
    <x v="2"/>
    <x v="2"/>
  </r>
  <r>
    <x v="20"/>
    <x v="20"/>
    <x v="20"/>
    <x v="3"/>
    <x v="0"/>
    <x v="3"/>
    <x v="4"/>
    <x v="3"/>
  </r>
  <r>
    <x v="21"/>
    <x v="21"/>
    <x v="21"/>
    <x v="5"/>
    <x v="1"/>
    <x v="5"/>
    <x v="1"/>
    <x v="10"/>
  </r>
  <r>
    <x v="22"/>
    <x v="22"/>
    <x v="22"/>
    <x v="4"/>
    <x v="0"/>
    <x v="4"/>
    <x v="0"/>
    <x v="4"/>
  </r>
  <r>
    <x v="23"/>
    <x v="23"/>
    <x v="23"/>
    <x v="0"/>
    <x v="1"/>
    <x v="0"/>
    <x v="0"/>
    <x v="11"/>
  </r>
  <r>
    <x v="24"/>
    <x v="24"/>
    <x v="24"/>
    <x v="1"/>
    <x v="0"/>
    <x v="1"/>
    <x v="1"/>
    <x v="1"/>
  </r>
  <r>
    <x v="25"/>
    <x v="25"/>
    <x v="25"/>
    <x v="2"/>
    <x v="2"/>
    <x v="2"/>
    <x v="4"/>
    <x v="12"/>
  </r>
  <r>
    <x v="26"/>
    <x v="26"/>
    <x v="26"/>
    <x v="3"/>
    <x v="0"/>
    <x v="3"/>
    <x v="2"/>
    <x v="3"/>
  </r>
  <r>
    <x v="27"/>
    <x v="27"/>
    <x v="27"/>
    <x v="4"/>
    <x v="1"/>
    <x v="4"/>
    <x v="3"/>
    <x v="6"/>
  </r>
  <r>
    <x v="28"/>
    <x v="28"/>
    <x v="28"/>
    <x v="5"/>
    <x v="0"/>
    <x v="5"/>
    <x v="0"/>
    <x v="9"/>
  </r>
  <r>
    <x v="29"/>
    <x v="29"/>
    <x v="29"/>
    <x v="0"/>
    <x v="0"/>
    <x v="0"/>
    <x v="1"/>
    <x v="0"/>
  </r>
  <r>
    <x v="30"/>
    <x v="30"/>
    <x v="30"/>
    <x v="1"/>
    <x v="1"/>
    <x v="1"/>
    <x v="2"/>
    <x v="8"/>
  </r>
  <r>
    <x v="31"/>
    <x v="31"/>
    <x v="31"/>
    <x v="2"/>
    <x v="0"/>
    <x v="2"/>
    <x v="4"/>
    <x v="5"/>
  </r>
  <r>
    <x v="32"/>
    <x v="32"/>
    <x v="32"/>
    <x v="3"/>
    <x v="1"/>
    <x v="3"/>
    <x v="3"/>
    <x v="1"/>
  </r>
  <r>
    <x v="33"/>
    <x v="33"/>
    <x v="33"/>
    <x v="4"/>
    <x v="0"/>
    <x v="4"/>
    <x v="2"/>
    <x v="4"/>
  </r>
  <r>
    <x v="34"/>
    <x v="34"/>
    <x v="34"/>
    <x v="5"/>
    <x v="2"/>
    <x v="5"/>
    <x v="1"/>
    <x v="5"/>
  </r>
  <r>
    <x v="35"/>
    <x v="35"/>
    <x v="35"/>
    <x v="0"/>
    <x v="0"/>
    <x v="0"/>
    <x v="0"/>
    <x v="0"/>
  </r>
  <r>
    <x v="36"/>
    <x v="36"/>
    <x v="36"/>
    <x v="1"/>
    <x v="0"/>
    <x v="1"/>
    <x v="2"/>
    <x v="1"/>
  </r>
  <r>
    <x v="37"/>
    <x v="37"/>
    <x v="37"/>
    <x v="2"/>
    <x v="1"/>
    <x v="2"/>
    <x v="1"/>
    <x v="2"/>
  </r>
  <r>
    <x v="38"/>
    <x v="38"/>
    <x v="38"/>
    <x v="3"/>
    <x v="0"/>
    <x v="3"/>
    <x v="4"/>
    <x v="3"/>
  </r>
  <r>
    <x v="39"/>
    <x v="39"/>
    <x v="39"/>
    <x v="4"/>
    <x v="1"/>
    <x v="4"/>
    <x v="3"/>
    <x v="6"/>
  </r>
  <r>
    <x v="40"/>
    <x v="40"/>
    <x v="25"/>
    <x v="2"/>
    <x v="2"/>
    <x v="2"/>
    <x v="4"/>
    <x v="12"/>
  </r>
  <r>
    <x v="41"/>
    <x v="41"/>
    <x v="40"/>
    <x v="5"/>
    <x v="0"/>
    <x v="5"/>
    <x v="1"/>
    <x v="9"/>
  </r>
  <r>
    <x v="42"/>
    <x v="42"/>
    <x v="41"/>
    <x v="0"/>
    <x v="1"/>
    <x v="0"/>
    <x v="2"/>
    <x v="11"/>
  </r>
  <r>
    <x v="43"/>
    <x v="43"/>
    <x v="42"/>
    <x v="1"/>
    <x v="0"/>
    <x v="1"/>
    <x v="0"/>
    <x v="1"/>
  </r>
  <r>
    <x v="44"/>
    <x v="44"/>
    <x v="43"/>
    <x v="2"/>
    <x v="0"/>
    <x v="2"/>
    <x v="3"/>
    <x v="5"/>
  </r>
  <r>
    <x v="45"/>
    <x v="45"/>
    <x v="44"/>
    <x v="3"/>
    <x v="1"/>
    <x v="3"/>
    <x v="4"/>
    <x v="1"/>
  </r>
  <r>
    <x v="46"/>
    <x v="46"/>
    <x v="45"/>
    <x v="6"/>
    <x v="4"/>
    <x v="6"/>
    <x v="5"/>
    <x v="1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TablaDinámica1" cacheId="12" applyNumberFormats="0" applyBorderFormats="0" applyFontFormats="0" applyPatternFormats="0" applyAlignmentFormats="0" applyWidthHeightFormats="1" dataCaption="Valores" updatedVersion="6" minRefreshableVersion="3" useAutoFormatting="1" itemPrintTitles="1" createdVersion="6" indent="0" outline="1" outlineData="1" multipleFieldFilters="0" chartFormat="1">
  <location ref="A1:C9" firstHeaderRow="0" firstDataRow="1" firstDataCol="1"/>
  <pivotFields count="8">
    <pivotField showAll="0"/>
    <pivotField showAll="0"/>
    <pivotField showAll="0">
      <items count="47">
        <item x="23"/>
        <item x="1"/>
        <item x="11"/>
        <item x="32"/>
        <item x="27"/>
        <item x="40"/>
        <item x="35"/>
        <item x="0"/>
        <item x="17"/>
        <item x="43"/>
        <item x="37"/>
        <item x="25"/>
        <item x="10"/>
        <item x="26"/>
        <item x="9"/>
        <item x="42"/>
        <item x="36"/>
        <item x="20"/>
        <item x="18"/>
        <item x="29"/>
        <item x="4"/>
        <item x="13"/>
        <item x="14"/>
        <item x="33"/>
        <item x="7"/>
        <item x="44"/>
        <item x="2"/>
        <item x="22"/>
        <item x="30"/>
        <item x="12"/>
        <item x="3"/>
        <item x="21"/>
        <item x="16"/>
        <item x="41"/>
        <item x="34"/>
        <item x="31"/>
        <item x="24"/>
        <item x="6"/>
        <item x="8"/>
        <item x="15"/>
        <item x="28"/>
        <item x="38"/>
        <item x="19"/>
        <item x="5"/>
        <item x="39"/>
        <item x="45"/>
        <item t="default"/>
      </items>
    </pivotField>
    <pivotField axis="axisRow" showAll="0">
      <items count="8">
        <item x="0"/>
        <item x="3"/>
        <item x="5"/>
        <item x="1"/>
        <item x="2"/>
        <item x="4"/>
        <item x="6"/>
        <item t="default"/>
      </items>
    </pivotField>
    <pivotField showAll="0">
      <items count="6">
        <item x="0"/>
        <item x="1"/>
        <item x="2"/>
        <item x="3"/>
        <item x="4"/>
        <item t="default"/>
      </items>
    </pivotField>
    <pivotField dataField="1" showAll="0">
      <items count="8">
        <item x="5"/>
        <item x="4"/>
        <item x="2"/>
        <item x="3"/>
        <item x="1"/>
        <item x="0"/>
        <item h="1" x="6"/>
        <item t="default"/>
      </items>
    </pivotField>
    <pivotField showAll="0">
      <items count="7">
        <item x="3"/>
        <item x="4"/>
        <item x="2"/>
        <item x="0"/>
        <item x="1"/>
        <item x="5"/>
        <item t="default"/>
      </items>
    </pivotField>
    <pivotField dataField="1" showAll="0">
      <items count="15">
        <item x="9"/>
        <item x="10"/>
        <item x="4"/>
        <item x="5"/>
        <item x="7"/>
        <item x="6"/>
        <item x="2"/>
        <item x="3"/>
        <item x="12"/>
        <item x="1"/>
        <item x="0"/>
        <item x="8"/>
        <item x="11"/>
        <item x="13"/>
        <item t="default"/>
      </items>
    </pivotField>
  </pivotFields>
  <rowFields count="1">
    <field x="3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Fields count="1">
    <field x="-2"/>
  </colFields>
  <colItems count="2">
    <i>
      <x/>
    </i>
    <i i="1">
      <x v="1"/>
    </i>
  </colItems>
  <dataFields count="2">
    <dataField name="Suma de Precio_Unitario" fld="5" baseField="3" baseItem="0"/>
    <dataField name="Suma de Cantidad_Total" fld="7" baseField="3" baseItem="0"/>
  </dataFields>
  <chartFormats count="2">
    <chartFormat chart="0" format="10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02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TablaDinámica2" cacheId="12" applyNumberFormats="0" applyBorderFormats="0" applyFontFormats="0" applyPatternFormats="0" applyAlignmentFormats="0" applyWidthHeightFormats="1" dataCaption="Valores" updatedVersion="6" minRefreshableVersion="5" useAutoFormatting="1" itemPrintTitles="1" createdVersion="6" indent="0" outline="1" outlineData="1" multipleFieldFilters="0" chartFormat="1">
  <location ref="A1:B8" firstHeaderRow="1" firstDataRow="1" firstDataCol="1"/>
  <pivotFields count="8">
    <pivotField showAll="0">
      <items count="4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t="default"/>
      </items>
    </pivotField>
    <pivotField showAll="0">
      <items count="4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t="default"/>
      </items>
    </pivotField>
    <pivotField showAll="0">
      <items count="47">
        <item x="23"/>
        <item x="1"/>
        <item x="11"/>
        <item x="32"/>
        <item x="27"/>
        <item x="40"/>
        <item x="35"/>
        <item x="0"/>
        <item x="17"/>
        <item x="43"/>
        <item x="37"/>
        <item x="25"/>
        <item x="10"/>
        <item x="26"/>
        <item x="9"/>
        <item x="42"/>
        <item x="36"/>
        <item x="20"/>
        <item x="18"/>
        <item x="29"/>
        <item x="4"/>
        <item x="13"/>
        <item x="14"/>
        <item x="33"/>
        <item x="7"/>
        <item x="44"/>
        <item x="2"/>
        <item x="22"/>
        <item x="30"/>
        <item x="12"/>
        <item x="3"/>
        <item x="21"/>
        <item x="16"/>
        <item x="41"/>
        <item x="34"/>
        <item x="31"/>
        <item x="24"/>
        <item x="6"/>
        <item x="8"/>
        <item x="15"/>
        <item x="28"/>
        <item x="38"/>
        <item x="19"/>
        <item x="5"/>
        <item x="39"/>
        <item x="45"/>
        <item t="default"/>
      </items>
    </pivotField>
    <pivotField showAll="0">
      <items count="8">
        <item x="0"/>
        <item x="3"/>
        <item x="5"/>
        <item x="1"/>
        <item x="2"/>
        <item x="4"/>
        <item x="6"/>
        <item t="default"/>
      </items>
    </pivotField>
    <pivotField dataField="1" showAll="0">
      <items count="6">
        <item x="0"/>
        <item x="1"/>
        <item x="2"/>
        <item x="3"/>
        <item x="4"/>
        <item t="default"/>
      </items>
    </pivotField>
    <pivotField showAll="0">
      <items count="8">
        <item x="5"/>
        <item x="4"/>
        <item x="2"/>
        <item x="3"/>
        <item x="1"/>
        <item x="0"/>
        <item x="6"/>
        <item t="default"/>
      </items>
    </pivotField>
    <pivotField axis="axisRow" showAll="0">
      <items count="7">
        <item x="3"/>
        <item x="4"/>
        <item x="2"/>
        <item x="0"/>
        <item x="1"/>
        <item x="5"/>
        <item t="default"/>
      </items>
    </pivotField>
    <pivotField showAll="0">
      <items count="15">
        <item x="9"/>
        <item x="10"/>
        <item x="4"/>
        <item x="5"/>
        <item x="7"/>
        <item x="6"/>
        <item x="2"/>
        <item x="3"/>
        <item x="12"/>
        <item x="1"/>
        <item x="0"/>
        <item x="8"/>
        <item x="11"/>
        <item x="13"/>
        <item t="default"/>
      </items>
    </pivotField>
  </pivotFields>
  <rowFields count="1">
    <field x="6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Suma de Cantidad" fld="4" baseField="6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TablaDinámica3" cacheId="12" applyNumberFormats="0" applyBorderFormats="0" applyFontFormats="0" applyPatternFormats="0" applyAlignmentFormats="0" applyWidthHeightFormats="1" dataCaption="Valores" updatedVersion="6" minRefreshableVersion="3" useAutoFormatting="1" itemPrintTitles="1" createdVersion="6" indent="0" outline="1" outlineData="1" multipleFieldFilters="0" chartFormat="1">
  <location ref="A1:B8" firstHeaderRow="1" firstDataRow="1" firstDataCol="1"/>
  <pivotFields count="8">
    <pivotField showAll="0"/>
    <pivotField showAll="0"/>
    <pivotField showAll="0">
      <items count="47">
        <item x="23"/>
        <item x="1"/>
        <item x="11"/>
        <item x="32"/>
        <item x="27"/>
        <item x="40"/>
        <item x="35"/>
        <item x="0"/>
        <item x="17"/>
        <item x="43"/>
        <item x="37"/>
        <item x="25"/>
        <item x="10"/>
        <item x="26"/>
        <item x="9"/>
        <item x="42"/>
        <item x="36"/>
        <item x="20"/>
        <item x="18"/>
        <item x="29"/>
        <item x="4"/>
        <item x="13"/>
        <item x="14"/>
        <item x="33"/>
        <item x="7"/>
        <item x="44"/>
        <item x="2"/>
        <item x="22"/>
        <item x="30"/>
        <item x="12"/>
        <item x="3"/>
        <item x="21"/>
        <item x="16"/>
        <item x="41"/>
        <item x="34"/>
        <item x="31"/>
        <item x="24"/>
        <item x="6"/>
        <item x="8"/>
        <item x="15"/>
        <item x="28"/>
        <item x="38"/>
        <item x="19"/>
        <item x="5"/>
        <item x="39"/>
        <item x="45"/>
        <item t="default"/>
      </items>
    </pivotField>
    <pivotField showAll="0">
      <items count="8">
        <item x="0"/>
        <item x="3"/>
        <item x="5"/>
        <item x="1"/>
        <item x="2"/>
        <item x="4"/>
        <item x="6"/>
        <item t="default"/>
      </items>
    </pivotField>
    <pivotField showAll="0">
      <items count="6">
        <item x="0"/>
        <item x="1"/>
        <item x="2"/>
        <item x="3"/>
        <item x="4"/>
        <item t="default"/>
      </items>
    </pivotField>
    <pivotField dataField="1" showAll="0"/>
    <pivotField axis="axisRow" showAll="0">
      <items count="7">
        <item x="3"/>
        <item x="4"/>
        <item x="2"/>
        <item x="0"/>
        <item x="1"/>
        <item x="5"/>
        <item t="default"/>
      </items>
    </pivotField>
    <pivotField showAll="0"/>
  </pivotFields>
  <rowFields count="1">
    <field x="6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Promedio de Precio_Unitario" fld="5" subtotal="average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queryTables/queryTable1.xml><?xml version="1.0" encoding="utf-8"?>
<queryTable xmlns="http://schemas.openxmlformats.org/spreadsheetml/2006/main" name="DatosExternos_1" connectionId="1" autoFormatId="0" applyNumberFormats="0" applyBorderFormats="0" applyFontFormats="1" applyPatternFormats="1" applyAlignmentFormats="0" applyWidthHeightFormats="0">
  <queryTableRefresh preserveSortFilterLayout="0" nextId="9" unboundColumnsRight="1">
    <queryTableFields count="8">
      <queryTableField id="1" name="ID_Pedido" tableColumnId="15"/>
      <queryTableField id="2" name="Fecha" tableColumnId="16"/>
      <queryTableField id="3" name="Cliente" tableColumnId="17"/>
      <queryTableField id="4" name="Producto" tableColumnId="18"/>
      <queryTableField id="5" name="Cantidad" tableColumnId="19"/>
      <queryTableField id="6" name="Precio_Unitario" tableColumnId="20"/>
      <queryTableField id="7" name="Pais" tableColumnId="21"/>
      <queryTableField id="8" dataBound="0" tableColumnId="22"/>
    </queryTableFields>
  </queryTableRefresh>
</queryTable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egmentaciónDeDatos_Producto" sourceName="Producto">
  <pivotTables>
    <pivotTable tabId="3" name="TablaDinámica1"/>
  </pivotTables>
  <data>
    <tabular pivotCacheId="1">
      <items count="7">
        <i x="0" s="1"/>
        <i x="3" s="1"/>
        <i x="5" s="1"/>
        <i x="1" s="1"/>
        <i x="2" s="1"/>
        <i x="4" s="1"/>
        <i x="6" s="1" nd="1"/>
      </items>
    </tabular>
  </data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egmentaciónDeDatos_Pais" sourceName="Pais">
  <pivotTables>
    <pivotTable tabId="3" name="TablaDinámica1"/>
  </pivotTables>
  <data>
    <tabular pivotCacheId="1">
      <items count="6">
        <i x="3" s="1"/>
        <i x="4" s="1"/>
        <i x="2" s="1"/>
        <i x="0" s="1"/>
        <i x="1" s="1"/>
        <i x="5" s="1" nd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mc:Ignorable="x">
  <slicer name="Producto" cache="SegmentaciónDeDatos_Producto" caption="Producto" rowHeight="241300"/>
  <slicer name="Pais" cache="SegmentaciónDeDatos_Pais" caption="Pais" rowHeight="241300"/>
</slicers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id="1" name="datos_tecnologia" displayName="datos_tecnologia" ref="A1:H47" tableType="queryTable" totalsRowShown="0">
  <autoFilter ref="A1:H47"/>
  <tableColumns count="8">
    <tableColumn id="15" uniqueName="15" name="ID_Pedido" queryTableFieldId="1" dataDxfId="7"/>
    <tableColumn id="16" uniqueName="16" name="Fecha" queryTableFieldId="2" dataDxfId="6"/>
    <tableColumn id="17" uniqueName="17" name="Cliente" queryTableFieldId="3" dataDxfId="5"/>
    <tableColumn id="18" uniqueName="18" name="Producto" queryTableFieldId="4" dataDxfId="4"/>
    <tableColumn id="19" uniqueName="19" name="Cantidad" queryTableFieldId="5" dataDxfId="3"/>
    <tableColumn id="20" uniqueName="20" name="Precio_Unitario" queryTableFieldId="6" dataDxfId="2"/>
    <tableColumn id="21" uniqueName="21" name="Pais" queryTableFieldId="7" dataDxfId="1"/>
    <tableColumn id="22" uniqueName="22" name="Cantidad_Total" queryTableFieldId="8" dataDxfId="0">
      <calculatedColumnFormula>datos_tecnologia[[#This Row],[Cantidad]]*datos_tecnologia[[#This Row],[Precio_Unitario]]</calculatedColumnFormula>
    </tableColumn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imelineCaches/timelineCache1.xml><?xml version="1.0" encoding="utf-8"?>
<timelineCacheDefinition xmlns="http://schemas.microsoft.com/office/spreadsheetml/2010/11/main" xmlns:x15="http://schemas.microsoft.com/office/spreadsheetml/2010/11/main" name="NativeTimeline_Fecha" sourceName="Fecha">
  <pivotTables>
    <pivotTable tabId="4" name="TablaDinámica2"/>
  </pivotTables>
  <state minimalRefreshVersion="6" lastRefreshVersion="6" pivotCacheId="1" filterType="unknown">
    <bounds startDate="2026-01-01T00:00:00" endDate="2027-01-01T00:00:00"/>
  </state>
</timelineCacheDefinition>
</file>

<file path=xl/timelines/timeline1.xml><?xml version="1.0" encoding="utf-8"?>
<timelines xmlns="http://schemas.microsoft.com/office/spreadsheetml/2010/11/main" xmlns:mc="http://schemas.openxmlformats.org/markup-compatibility/2006" xmlns:x="http://schemas.openxmlformats.org/spreadsheetml/2006/main" mc:Ignorable="x">
  <timeline name="Fecha" cache="NativeTimeline_Fecha" caption="Fecha" level="1" selectionLevel="1" scrollPosition="2026-01-01T00:00:00"/>
</timelines>
</file>

<file path=xl/worksheets/_rels/sheet1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3" Type="http://schemas.microsoft.com/office/2011/relationships/timeline" Target="../timelines/timeline1.xml"/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9"/>
  <sheetViews>
    <sheetView zoomScale="85" zoomScaleNormal="85" workbookViewId="0">
      <selection activeCell="C11" sqref="C11"/>
    </sheetView>
  </sheetViews>
  <sheetFormatPr baseColWidth="10" defaultRowHeight="15" x14ac:dyDescent="0.25"/>
  <cols>
    <col min="1" max="1" width="19.140625" customWidth="1"/>
    <col min="2" max="2" width="23.140625" customWidth="1"/>
    <col min="3" max="3" width="22.5703125" customWidth="1"/>
    <col min="4" max="4" width="4.140625" bestFit="1" customWidth="1"/>
    <col min="5" max="5" width="3.140625" bestFit="1" customWidth="1"/>
    <col min="6" max="6" width="11" bestFit="1" customWidth="1"/>
    <col min="7" max="7" width="22.5703125" customWidth="1"/>
    <col min="8" max="8" width="6.140625" bestFit="1" customWidth="1"/>
    <col min="9" max="9" width="5.140625" bestFit="1" customWidth="1"/>
    <col min="10" max="10" width="4.140625" bestFit="1" customWidth="1"/>
    <col min="11" max="11" width="11" bestFit="1" customWidth="1"/>
    <col min="12" max="12" width="28.140625" bestFit="1" customWidth="1"/>
    <col min="13" max="13" width="27.5703125" bestFit="1" customWidth="1"/>
    <col min="14" max="14" width="24.5703125" customWidth="1"/>
    <col min="15" max="15" width="22.5703125" customWidth="1"/>
    <col min="16" max="16" width="24.5703125" customWidth="1"/>
    <col min="17" max="17" width="22.5703125" customWidth="1"/>
    <col min="18" max="18" width="24.5703125" bestFit="1" customWidth="1"/>
    <col min="19" max="19" width="22.5703125" customWidth="1"/>
    <col min="20" max="20" width="24.5703125" bestFit="1" customWidth="1"/>
    <col min="21" max="21" width="22.5703125" customWidth="1"/>
    <col min="22" max="22" width="24.5703125" bestFit="1" customWidth="1"/>
    <col min="23" max="23" width="22.5703125" customWidth="1"/>
    <col min="24" max="24" width="24.5703125" bestFit="1" customWidth="1"/>
    <col min="25" max="25" width="22.5703125" customWidth="1"/>
    <col min="26" max="26" width="24.5703125" bestFit="1" customWidth="1"/>
    <col min="27" max="27" width="22.5703125" customWidth="1"/>
    <col min="28" max="28" width="24.5703125" bestFit="1" customWidth="1"/>
    <col min="29" max="29" width="22.5703125" customWidth="1"/>
    <col min="30" max="30" width="29.5703125" bestFit="1" customWidth="1"/>
    <col min="31" max="31" width="27.5703125" customWidth="1"/>
    <col min="32" max="33" width="4.140625" bestFit="1" customWidth="1"/>
    <col min="34" max="35" width="5.140625" bestFit="1" customWidth="1"/>
    <col min="36" max="36" width="12.42578125" bestFit="1" customWidth="1"/>
    <col min="37" max="37" width="12.85546875" bestFit="1" customWidth="1"/>
    <col min="38" max="38" width="15.85546875" bestFit="1" customWidth="1"/>
    <col min="39" max="39" width="12.5703125" bestFit="1" customWidth="1"/>
    <col min="40" max="40" width="12" bestFit="1" customWidth="1"/>
    <col min="41" max="41" width="12.7109375" bestFit="1" customWidth="1"/>
    <col min="42" max="42" width="11.140625" customWidth="1"/>
    <col min="43" max="43" width="14.5703125" bestFit="1" customWidth="1"/>
    <col min="44" max="44" width="15.7109375" bestFit="1" customWidth="1"/>
    <col min="46" max="46" width="12.140625" bestFit="1" customWidth="1"/>
    <col min="47" max="47" width="11" customWidth="1"/>
    <col min="48" max="48" width="12.5703125" bestFit="1" customWidth="1"/>
  </cols>
  <sheetData>
    <row r="1" spans="1:3" x14ac:dyDescent="0.25">
      <c r="A1" s="3" t="s">
        <v>112</v>
      </c>
      <c r="B1" t="s">
        <v>114</v>
      </c>
      <c r="C1" t="s">
        <v>113</v>
      </c>
    </row>
    <row r="2" spans="1:3" x14ac:dyDescent="0.25">
      <c r="A2" s="4" t="s">
        <v>8</v>
      </c>
      <c r="B2" s="2">
        <v>9600</v>
      </c>
      <c r="C2" s="2">
        <v>12000</v>
      </c>
    </row>
    <row r="3" spans="1:3" x14ac:dyDescent="0.25">
      <c r="A3" s="4" t="s">
        <v>16</v>
      </c>
      <c r="B3" s="2">
        <v>3200</v>
      </c>
      <c r="C3" s="2">
        <v>4400</v>
      </c>
    </row>
    <row r="4" spans="1:3" x14ac:dyDescent="0.25">
      <c r="A4" s="4" t="s">
        <v>22</v>
      </c>
      <c r="B4" s="2">
        <v>350</v>
      </c>
      <c r="C4" s="2">
        <v>750</v>
      </c>
    </row>
    <row r="5" spans="1:3" x14ac:dyDescent="0.25">
      <c r="A5" s="4" t="s">
        <v>10</v>
      </c>
      <c r="B5" s="2">
        <v>6400</v>
      </c>
      <c r="C5" s="2">
        <v>8000</v>
      </c>
    </row>
    <row r="6" spans="1:3" x14ac:dyDescent="0.25">
      <c r="A6" s="4" t="s">
        <v>13</v>
      </c>
      <c r="B6" s="2">
        <v>1200</v>
      </c>
      <c r="C6" s="2">
        <v>2250</v>
      </c>
    </row>
    <row r="7" spans="1:3" x14ac:dyDescent="0.25">
      <c r="A7" s="4" t="s">
        <v>19</v>
      </c>
      <c r="B7" s="2">
        <v>840</v>
      </c>
      <c r="C7" s="2">
        <v>1200</v>
      </c>
    </row>
    <row r="8" spans="1:3" x14ac:dyDescent="0.25">
      <c r="A8" s="4" t="s">
        <v>110</v>
      </c>
      <c r="B8" s="2"/>
      <c r="C8" s="2"/>
    </row>
    <row r="9" spans="1:3" x14ac:dyDescent="0.25">
      <c r="A9" s="4" t="s">
        <v>111</v>
      </c>
      <c r="B9" s="2">
        <v>21590</v>
      </c>
      <c r="C9" s="2">
        <v>28600</v>
      </c>
    </row>
  </sheetData>
  <pageMargins left="0.7" right="0.7" top="0.75" bottom="0.75" header="0.3" footer="0.3"/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"/>
  <sheetViews>
    <sheetView workbookViewId="0">
      <selection activeCell="B5" sqref="B5"/>
    </sheetView>
  </sheetViews>
  <sheetFormatPr baseColWidth="10" defaultRowHeight="15" x14ac:dyDescent="0.25"/>
  <cols>
    <col min="1" max="1" width="17.5703125" bestFit="1" customWidth="1"/>
    <col min="2" max="2" width="17" customWidth="1"/>
  </cols>
  <sheetData>
    <row r="1" spans="1:2" x14ac:dyDescent="0.25">
      <c r="A1" s="3" t="s">
        <v>112</v>
      </c>
      <c r="B1" t="s">
        <v>115</v>
      </c>
    </row>
    <row r="2" spans="1:2" x14ac:dyDescent="0.25">
      <c r="A2" s="4" t="s">
        <v>20</v>
      </c>
      <c r="B2" s="2">
        <v>12</v>
      </c>
    </row>
    <row r="3" spans="1:2" x14ac:dyDescent="0.25">
      <c r="A3" s="4" t="s">
        <v>27</v>
      </c>
      <c r="B3" s="2">
        <v>18</v>
      </c>
    </row>
    <row r="4" spans="1:2" x14ac:dyDescent="0.25">
      <c r="A4" s="4" t="s">
        <v>14</v>
      </c>
      <c r="B4" s="2">
        <v>13</v>
      </c>
    </row>
    <row r="5" spans="1:2" x14ac:dyDescent="0.25">
      <c r="A5" s="4" t="s">
        <v>81</v>
      </c>
      <c r="B5" s="2">
        <v>11</v>
      </c>
    </row>
    <row r="6" spans="1:2" x14ac:dyDescent="0.25">
      <c r="A6" s="4" t="s">
        <v>11</v>
      </c>
      <c r="B6" s="2">
        <v>17</v>
      </c>
    </row>
    <row r="7" spans="1:2" x14ac:dyDescent="0.25">
      <c r="A7" s="4" t="s">
        <v>110</v>
      </c>
      <c r="B7" s="2"/>
    </row>
    <row r="8" spans="1:2" x14ac:dyDescent="0.25">
      <c r="A8" s="4" t="s">
        <v>111</v>
      </c>
      <c r="B8" s="2">
        <v>71</v>
      </c>
    </row>
  </sheetData>
  <pageMargins left="0.7" right="0.7" top="0.75" bottom="0.75" header="0.3" footer="0.3"/>
  <drawing r:id="rId2"/>
  <extLst>
    <ext xmlns:x15="http://schemas.microsoft.com/office/spreadsheetml/2010/11/main" uri="{7E03D99C-DC04-49d9-9315-930204A7B6E9}">
      <x15:timelineRefs>
        <x15:timelineRef r:id="rId3"/>
      </x15:timelineRef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"/>
  <sheetViews>
    <sheetView workbookViewId="0">
      <selection activeCell="B5" sqref="B5"/>
    </sheetView>
  </sheetViews>
  <sheetFormatPr baseColWidth="10" defaultRowHeight="15" x14ac:dyDescent="0.25"/>
  <cols>
    <col min="1" max="1" width="17.5703125" customWidth="1"/>
    <col min="2" max="2" width="27.140625" bestFit="1" customWidth="1"/>
  </cols>
  <sheetData>
    <row r="1" spans="1:2" x14ac:dyDescent="0.25">
      <c r="A1" s="3" t="s">
        <v>112</v>
      </c>
      <c r="B1" t="s">
        <v>116</v>
      </c>
    </row>
    <row r="2" spans="1:2" x14ac:dyDescent="0.25">
      <c r="A2" s="4" t="s">
        <v>20</v>
      </c>
      <c r="B2" s="2">
        <v>243.75</v>
      </c>
    </row>
    <row r="3" spans="1:2" x14ac:dyDescent="0.25">
      <c r="A3" s="4" t="s">
        <v>27</v>
      </c>
      <c r="B3" s="2">
        <v>238.88888888888889</v>
      </c>
    </row>
    <row r="4" spans="1:2" x14ac:dyDescent="0.25">
      <c r="A4" s="4" t="s">
        <v>14</v>
      </c>
      <c r="B4" s="2">
        <v>535.55555555555554</v>
      </c>
    </row>
    <row r="5" spans="1:2" x14ac:dyDescent="0.25">
      <c r="A5" s="4" t="s">
        <v>81</v>
      </c>
      <c r="B5" s="2">
        <v>752</v>
      </c>
    </row>
    <row r="6" spans="1:2" x14ac:dyDescent="0.25">
      <c r="A6" s="4" t="s">
        <v>11</v>
      </c>
      <c r="B6" s="2">
        <v>515</v>
      </c>
    </row>
    <row r="7" spans="1:2" x14ac:dyDescent="0.25">
      <c r="A7" s="4" t="s">
        <v>110</v>
      </c>
      <c r="B7" s="2"/>
    </row>
    <row r="8" spans="1:2" x14ac:dyDescent="0.25">
      <c r="A8" s="4" t="s">
        <v>111</v>
      </c>
      <c r="B8" s="2">
        <v>469.3478260869565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7"/>
  <sheetViews>
    <sheetView tabSelected="1" workbookViewId="0">
      <selection activeCell="F13" sqref="F13"/>
    </sheetView>
  </sheetViews>
  <sheetFormatPr baseColWidth="10" defaultRowHeight="15" x14ac:dyDescent="0.25"/>
  <cols>
    <col min="1" max="1" width="12.42578125" bestFit="1" customWidth="1"/>
    <col min="2" max="2" width="10.7109375" bestFit="1" customWidth="1"/>
    <col min="3" max="4" width="18" bestFit="1" customWidth="1"/>
    <col min="5" max="5" width="11.140625" bestFit="1" customWidth="1"/>
    <col min="6" max="6" width="17.140625" bestFit="1" customWidth="1"/>
    <col min="7" max="7" width="9.7109375" bestFit="1" customWidth="1"/>
    <col min="8" max="8" width="16.5703125" bestFit="1" customWidth="1"/>
  </cols>
  <sheetData>
    <row r="1" spans="1:8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t="s">
        <v>109</v>
      </c>
    </row>
    <row r="2" spans="1:8" x14ac:dyDescent="0.25">
      <c r="A2" s="2" t="s">
        <v>7</v>
      </c>
      <c r="B2" s="1">
        <v>46143</v>
      </c>
      <c r="C2" s="2" t="s">
        <v>80</v>
      </c>
      <c r="D2" s="2" t="s">
        <v>8</v>
      </c>
      <c r="E2" s="2">
        <v>1</v>
      </c>
      <c r="F2" s="2">
        <v>1200</v>
      </c>
      <c r="G2" s="2" t="s">
        <v>81</v>
      </c>
      <c r="H2" s="2">
        <f>datos_tecnologia[[#This Row],[Cantidad]]*datos_tecnologia[[#This Row],[Precio_Unitario]]</f>
        <v>1200</v>
      </c>
    </row>
    <row r="3" spans="1:8" x14ac:dyDescent="0.25">
      <c r="A3" s="2" t="s">
        <v>9</v>
      </c>
      <c r="B3" s="1">
        <v>46144</v>
      </c>
      <c r="C3" s="2" t="s">
        <v>82</v>
      </c>
      <c r="D3" s="2" t="s">
        <v>10</v>
      </c>
      <c r="E3" s="2">
        <v>1</v>
      </c>
      <c r="F3" s="2">
        <v>800</v>
      </c>
      <c r="G3" s="2" t="s">
        <v>11</v>
      </c>
      <c r="H3" s="2">
        <f>datos_tecnologia[[#This Row],[Cantidad]]*datos_tecnologia[[#This Row],[Precio_Unitario]]</f>
        <v>800</v>
      </c>
    </row>
    <row r="4" spans="1:8" x14ac:dyDescent="0.25">
      <c r="A4" s="2" t="s">
        <v>12</v>
      </c>
      <c r="B4" s="1">
        <v>46145</v>
      </c>
      <c r="C4" s="2" t="s">
        <v>83</v>
      </c>
      <c r="D4" s="2" t="s">
        <v>13</v>
      </c>
      <c r="E4" s="2">
        <v>2</v>
      </c>
      <c r="F4" s="2">
        <v>150</v>
      </c>
      <c r="G4" s="2" t="s">
        <v>14</v>
      </c>
      <c r="H4" s="2">
        <f>datos_tecnologia[[#This Row],[Cantidad]]*datos_tecnologia[[#This Row],[Precio_Unitario]]</f>
        <v>300</v>
      </c>
    </row>
    <row r="5" spans="1:8" x14ac:dyDescent="0.25">
      <c r="A5" s="2" t="s">
        <v>15</v>
      </c>
      <c r="B5" s="1">
        <v>46146</v>
      </c>
      <c r="C5" s="2" t="s">
        <v>84</v>
      </c>
      <c r="D5" s="2" t="s">
        <v>16</v>
      </c>
      <c r="E5" s="2">
        <v>1</v>
      </c>
      <c r="F5" s="2">
        <v>400</v>
      </c>
      <c r="G5" s="2" t="s">
        <v>81</v>
      </c>
      <c r="H5" s="2">
        <f>datos_tecnologia[[#This Row],[Cantidad]]*datos_tecnologia[[#This Row],[Precio_Unitario]]</f>
        <v>400</v>
      </c>
    </row>
    <row r="6" spans="1:8" x14ac:dyDescent="0.25">
      <c r="A6" s="2" t="s">
        <v>17</v>
      </c>
      <c r="B6" s="1">
        <v>46147</v>
      </c>
      <c r="C6" s="2" t="s">
        <v>18</v>
      </c>
      <c r="D6" s="2" t="s">
        <v>19</v>
      </c>
      <c r="E6" s="2">
        <v>1</v>
      </c>
      <c r="F6" s="2">
        <v>120</v>
      </c>
      <c r="G6" s="2" t="s">
        <v>20</v>
      </c>
      <c r="H6" s="2">
        <f>datos_tecnologia[[#This Row],[Cantidad]]*datos_tecnologia[[#This Row],[Precio_Unitario]]</f>
        <v>120</v>
      </c>
    </row>
    <row r="7" spans="1:8" x14ac:dyDescent="0.25">
      <c r="A7" s="2" t="s">
        <v>21</v>
      </c>
      <c r="B7" s="1">
        <v>46148</v>
      </c>
      <c r="C7" s="2" t="s">
        <v>85</v>
      </c>
      <c r="D7" s="2" t="s">
        <v>22</v>
      </c>
      <c r="E7" s="2">
        <v>3</v>
      </c>
      <c r="F7" s="2">
        <v>50</v>
      </c>
      <c r="G7" s="2" t="s">
        <v>11</v>
      </c>
      <c r="H7" s="2">
        <f>datos_tecnologia[[#This Row],[Cantidad]]*datos_tecnologia[[#This Row],[Precio_Unitario]]</f>
        <v>150</v>
      </c>
    </row>
    <row r="8" spans="1:8" x14ac:dyDescent="0.25">
      <c r="A8" s="2" t="s">
        <v>23</v>
      </c>
      <c r="B8" s="1">
        <v>46149</v>
      </c>
      <c r="C8" s="2" t="s">
        <v>24</v>
      </c>
      <c r="D8" s="2" t="s">
        <v>10</v>
      </c>
      <c r="E8" s="2">
        <v>1</v>
      </c>
      <c r="F8" s="2">
        <v>800</v>
      </c>
      <c r="G8" s="2" t="s">
        <v>14</v>
      </c>
      <c r="H8" s="2">
        <f>datos_tecnologia[[#This Row],[Cantidad]]*datos_tecnologia[[#This Row],[Precio_Unitario]]</f>
        <v>800</v>
      </c>
    </row>
    <row r="9" spans="1:8" x14ac:dyDescent="0.25">
      <c r="A9" s="2" t="s">
        <v>25</v>
      </c>
      <c r="B9" s="1">
        <v>46150</v>
      </c>
      <c r="C9" s="2" t="s">
        <v>86</v>
      </c>
      <c r="D9" s="2" t="s">
        <v>13</v>
      </c>
      <c r="E9" s="2">
        <v>1</v>
      </c>
      <c r="F9" s="2">
        <v>150</v>
      </c>
      <c r="G9" s="2" t="s">
        <v>81</v>
      </c>
      <c r="H9" s="2">
        <f>datos_tecnologia[[#This Row],[Cantidad]]*datos_tecnologia[[#This Row],[Precio_Unitario]]</f>
        <v>150</v>
      </c>
    </row>
    <row r="10" spans="1:8" x14ac:dyDescent="0.25">
      <c r="A10" s="2" t="s">
        <v>26</v>
      </c>
      <c r="B10" s="1">
        <v>46151</v>
      </c>
      <c r="C10" s="2" t="s">
        <v>87</v>
      </c>
      <c r="D10" s="2" t="s">
        <v>16</v>
      </c>
      <c r="E10" s="2">
        <v>2</v>
      </c>
      <c r="F10" s="2">
        <v>400</v>
      </c>
      <c r="G10" s="2" t="s">
        <v>27</v>
      </c>
      <c r="H10" s="2">
        <f>datos_tecnologia[[#This Row],[Cantidad]]*datos_tecnologia[[#This Row],[Precio_Unitario]]</f>
        <v>800</v>
      </c>
    </row>
    <row r="11" spans="1:8" x14ac:dyDescent="0.25">
      <c r="A11" s="2" t="s">
        <v>28</v>
      </c>
      <c r="B11" s="1">
        <v>46152</v>
      </c>
      <c r="C11" s="2" t="s">
        <v>29</v>
      </c>
      <c r="D11" s="2" t="s">
        <v>8</v>
      </c>
      <c r="E11" s="2">
        <v>1</v>
      </c>
      <c r="F11" s="2">
        <v>1200</v>
      </c>
      <c r="G11" s="2" t="s">
        <v>11</v>
      </c>
      <c r="H11" s="2">
        <f>datos_tecnologia[[#This Row],[Cantidad]]*datos_tecnologia[[#This Row],[Precio_Unitario]]</f>
        <v>1200</v>
      </c>
    </row>
    <row r="12" spans="1:8" x14ac:dyDescent="0.25">
      <c r="A12" s="2" t="s">
        <v>30</v>
      </c>
      <c r="B12" s="1">
        <v>46153</v>
      </c>
      <c r="C12" s="2" t="s">
        <v>88</v>
      </c>
      <c r="D12" s="2" t="s">
        <v>19</v>
      </c>
      <c r="E12" s="2">
        <v>2</v>
      </c>
      <c r="F12" s="2">
        <v>120</v>
      </c>
      <c r="G12" s="2" t="s">
        <v>20</v>
      </c>
      <c r="H12" s="2">
        <f>datos_tecnologia[[#This Row],[Cantidad]]*datos_tecnologia[[#This Row],[Precio_Unitario]]</f>
        <v>240</v>
      </c>
    </row>
    <row r="13" spans="1:8" x14ac:dyDescent="0.25">
      <c r="A13" s="2" t="s">
        <v>31</v>
      </c>
      <c r="B13" s="1">
        <v>46154</v>
      </c>
      <c r="C13" s="2" t="s">
        <v>32</v>
      </c>
      <c r="D13" s="2" t="s">
        <v>22</v>
      </c>
      <c r="E13" s="2">
        <v>4</v>
      </c>
      <c r="F13" s="2">
        <v>50</v>
      </c>
      <c r="G13" s="2" t="s">
        <v>27</v>
      </c>
      <c r="H13" s="2">
        <f>datos_tecnologia[[#This Row],[Cantidad]]*datos_tecnologia[[#This Row],[Precio_Unitario]]</f>
        <v>200</v>
      </c>
    </row>
    <row r="14" spans="1:8" x14ac:dyDescent="0.25">
      <c r="A14" s="2" t="s">
        <v>33</v>
      </c>
      <c r="B14" s="1">
        <v>46155</v>
      </c>
      <c r="C14" s="2" t="s">
        <v>89</v>
      </c>
      <c r="D14" s="2" t="s">
        <v>8</v>
      </c>
      <c r="E14" s="2">
        <v>1</v>
      </c>
      <c r="F14" s="2">
        <v>1200</v>
      </c>
      <c r="G14" s="2" t="s">
        <v>81</v>
      </c>
      <c r="H14" s="2">
        <f>datos_tecnologia[[#This Row],[Cantidad]]*datos_tecnologia[[#This Row],[Precio_Unitario]]</f>
        <v>1200</v>
      </c>
    </row>
    <row r="15" spans="1:8" x14ac:dyDescent="0.25">
      <c r="A15" s="2" t="s">
        <v>34</v>
      </c>
      <c r="B15" s="1">
        <v>46156</v>
      </c>
      <c r="C15" s="2" t="s">
        <v>90</v>
      </c>
      <c r="D15" s="2" t="s">
        <v>10</v>
      </c>
      <c r="E15" s="2">
        <v>2</v>
      </c>
      <c r="F15" s="2">
        <v>800</v>
      </c>
      <c r="G15" s="2" t="s">
        <v>11</v>
      </c>
      <c r="H15" s="2">
        <f>datos_tecnologia[[#This Row],[Cantidad]]*datos_tecnologia[[#This Row],[Precio_Unitario]]</f>
        <v>1600</v>
      </c>
    </row>
    <row r="16" spans="1:8" x14ac:dyDescent="0.25">
      <c r="A16" s="2" t="s">
        <v>35</v>
      </c>
      <c r="B16" s="1">
        <v>46157</v>
      </c>
      <c r="C16" s="2" t="s">
        <v>36</v>
      </c>
      <c r="D16" s="2" t="s">
        <v>16</v>
      </c>
      <c r="E16" s="2">
        <v>1</v>
      </c>
      <c r="F16" s="2">
        <v>400</v>
      </c>
      <c r="G16" s="2" t="s">
        <v>14</v>
      </c>
      <c r="H16" s="2">
        <f>datos_tecnologia[[#This Row],[Cantidad]]*datos_tecnologia[[#This Row],[Precio_Unitario]]</f>
        <v>400</v>
      </c>
    </row>
    <row r="17" spans="1:8" x14ac:dyDescent="0.25">
      <c r="A17" s="2" t="s">
        <v>37</v>
      </c>
      <c r="B17" s="1">
        <v>46158</v>
      </c>
      <c r="C17" s="2" t="s">
        <v>91</v>
      </c>
      <c r="D17" s="2" t="s">
        <v>19</v>
      </c>
      <c r="E17" s="2">
        <v>1</v>
      </c>
      <c r="F17" s="2">
        <v>120</v>
      </c>
      <c r="G17" s="2" t="s">
        <v>20</v>
      </c>
      <c r="H17" s="2">
        <f>datos_tecnologia[[#This Row],[Cantidad]]*datos_tecnologia[[#This Row],[Precio_Unitario]]</f>
        <v>120</v>
      </c>
    </row>
    <row r="18" spans="1:8" x14ac:dyDescent="0.25">
      <c r="A18" s="2" t="s">
        <v>38</v>
      </c>
      <c r="B18" s="1">
        <v>46159</v>
      </c>
      <c r="C18" s="2" t="s">
        <v>39</v>
      </c>
      <c r="D18" s="2" t="s">
        <v>22</v>
      </c>
      <c r="E18" s="2">
        <v>1</v>
      </c>
      <c r="F18" s="2">
        <v>50</v>
      </c>
      <c r="G18" s="2" t="s">
        <v>27</v>
      </c>
      <c r="H18" s="2">
        <f>datos_tecnologia[[#This Row],[Cantidad]]*datos_tecnologia[[#This Row],[Precio_Unitario]]</f>
        <v>50</v>
      </c>
    </row>
    <row r="19" spans="1:8" x14ac:dyDescent="0.25">
      <c r="A19" s="2" t="s">
        <v>40</v>
      </c>
      <c r="B19" s="1">
        <v>46160</v>
      </c>
      <c r="C19" s="2" t="s">
        <v>92</v>
      </c>
      <c r="D19" s="2" t="s">
        <v>8</v>
      </c>
      <c r="E19" s="2">
        <v>1</v>
      </c>
      <c r="F19" s="2">
        <v>1200</v>
      </c>
      <c r="G19" s="2" t="s">
        <v>81</v>
      </c>
      <c r="H19" s="2">
        <f>datos_tecnologia[[#This Row],[Cantidad]]*datos_tecnologia[[#This Row],[Precio_Unitario]]</f>
        <v>1200</v>
      </c>
    </row>
    <row r="20" spans="1:8" x14ac:dyDescent="0.25">
      <c r="A20" s="2" t="s">
        <v>41</v>
      </c>
      <c r="B20" s="1">
        <v>46161</v>
      </c>
      <c r="C20" s="2" t="s">
        <v>93</v>
      </c>
      <c r="D20" s="2" t="s">
        <v>10</v>
      </c>
      <c r="E20" s="2">
        <v>1</v>
      </c>
      <c r="F20" s="2">
        <v>800</v>
      </c>
      <c r="G20" s="2" t="s">
        <v>20</v>
      </c>
      <c r="H20" s="2">
        <f>datos_tecnologia[[#This Row],[Cantidad]]*datos_tecnologia[[#This Row],[Precio_Unitario]]</f>
        <v>800</v>
      </c>
    </row>
    <row r="21" spans="1:8" x14ac:dyDescent="0.25">
      <c r="A21" s="2" t="s">
        <v>42</v>
      </c>
      <c r="B21" s="1">
        <v>46162</v>
      </c>
      <c r="C21" s="2" t="s">
        <v>94</v>
      </c>
      <c r="D21" s="2" t="s">
        <v>13</v>
      </c>
      <c r="E21" s="2">
        <v>2</v>
      </c>
      <c r="F21" s="2">
        <v>150</v>
      </c>
      <c r="G21" s="2" t="s">
        <v>14</v>
      </c>
      <c r="H21" s="2">
        <f>datos_tecnologia[[#This Row],[Cantidad]]*datos_tecnologia[[#This Row],[Precio_Unitario]]</f>
        <v>300</v>
      </c>
    </row>
    <row r="22" spans="1:8" x14ac:dyDescent="0.25">
      <c r="A22" s="2" t="s">
        <v>43</v>
      </c>
      <c r="B22" s="1">
        <v>46163</v>
      </c>
      <c r="C22" s="2" t="s">
        <v>44</v>
      </c>
      <c r="D22" s="2" t="s">
        <v>16</v>
      </c>
      <c r="E22" s="2">
        <v>1</v>
      </c>
      <c r="F22" s="2">
        <v>400</v>
      </c>
      <c r="G22" s="2" t="s">
        <v>27</v>
      </c>
      <c r="H22" s="2">
        <f>datos_tecnologia[[#This Row],[Cantidad]]*datos_tecnologia[[#This Row],[Precio_Unitario]]</f>
        <v>400</v>
      </c>
    </row>
    <row r="23" spans="1:8" x14ac:dyDescent="0.25">
      <c r="A23" s="2" t="s">
        <v>45</v>
      </c>
      <c r="B23" s="1">
        <v>46164</v>
      </c>
      <c r="C23" s="2" t="s">
        <v>46</v>
      </c>
      <c r="D23" s="2" t="s">
        <v>22</v>
      </c>
      <c r="E23" s="2">
        <v>2</v>
      </c>
      <c r="F23" s="2">
        <v>50</v>
      </c>
      <c r="G23" s="2" t="s">
        <v>11</v>
      </c>
      <c r="H23" s="2">
        <f>datos_tecnologia[[#This Row],[Cantidad]]*datos_tecnologia[[#This Row],[Precio_Unitario]]</f>
        <v>100</v>
      </c>
    </row>
    <row r="24" spans="1:8" x14ac:dyDescent="0.25">
      <c r="A24" s="2" t="s">
        <v>47</v>
      </c>
      <c r="B24" s="1">
        <v>46165</v>
      </c>
      <c r="C24" s="2" t="s">
        <v>95</v>
      </c>
      <c r="D24" s="2" t="s">
        <v>19</v>
      </c>
      <c r="E24" s="2">
        <v>1</v>
      </c>
      <c r="F24" s="2">
        <v>120</v>
      </c>
      <c r="G24" s="2" t="s">
        <v>81</v>
      </c>
      <c r="H24" s="2">
        <f>datos_tecnologia[[#This Row],[Cantidad]]*datos_tecnologia[[#This Row],[Precio_Unitario]]</f>
        <v>120</v>
      </c>
    </row>
    <row r="25" spans="1:8" x14ac:dyDescent="0.25">
      <c r="A25" s="2" t="s">
        <v>48</v>
      </c>
      <c r="B25" s="1">
        <v>46166</v>
      </c>
      <c r="C25" s="2" t="s">
        <v>96</v>
      </c>
      <c r="D25" s="2" t="s">
        <v>8</v>
      </c>
      <c r="E25" s="2">
        <v>2</v>
      </c>
      <c r="F25" s="2">
        <v>1200</v>
      </c>
      <c r="G25" s="2" t="s">
        <v>81</v>
      </c>
      <c r="H25" s="2">
        <f>datos_tecnologia[[#This Row],[Cantidad]]*datos_tecnologia[[#This Row],[Precio_Unitario]]</f>
        <v>2400</v>
      </c>
    </row>
    <row r="26" spans="1:8" x14ac:dyDescent="0.25">
      <c r="A26" s="2" t="s">
        <v>49</v>
      </c>
      <c r="B26" s="1">
        <v>46167</v>
      </c>
      <c r="C26" s="2" t="s">
        <v>97</v>
      </c>
      <c r="D26" s="2" t="s">
        <v>10</v>
      </c>
      <c r="E26" s="2">
        <v>1</v>
      </c>
      <c r="F26" s="2">
        <v>800</v>
      </c>
      <c r="G26" s="2" t="s">
        <v>11</v>
      </c>
      <c r="H26" s="2">
        <f>datos_tecnologia[[#This Row],[Cantidad]]*datos_tecnologia[[#This Row],[Precio_Unitario]]</f>
        <v>800</v>
      </c>
    </row>
    <row r="27" spans="1:8" x14ac:dyDescent="0.25">
      <c r="A27" s="2" t="s">
        <v>50</v>
      </c>
      <c r="B27" s="1">
        <v>46168</v>
      </c>
      <c r="C27" s="2" t="s">
        <v>51</v>
      </c>
      <c r="D27" s="2" t="s">
        <v>13</v>
      </c>
      <c r="E27" s="2">
        <v>3</v>
      </c>
      <c r="F27" s="2">
        <v>150</v>
      </c>
      <c r="G27" s="2" t="s">
        <v>27</v>
      </c>
      <c r="H27" s="2">
        <f>datos_tecnologia[[#This Row],[Cantidad]]*datos_tecnologia[[#This Row],[Precio_Unitario]]</f>
        <v>450</v>
      </c>
    </row>
    <row r="28" spans="1:8" x14ac:dyDescent="0.25">
      <c r="A28" s="2" t="s">
        <v>52</v>
      </c>
      <c r="B28" s="1">
        <v>46169</v>
      </c>
      <c r="C28" s="2" t="s">
        <v>53</v>
      </c>
      <c r="D28" s="2" t="s">
        <v>16</v>
      </c>
      <c r="E28" s="2">
        <v>1</v>
      </c>
      <c r="F28" s="2">
        <v>400</v>
      </c>
      <c r="G28" s="2" t="s">
        <v>14</v>
      </c>
      <c r="H28" s="2">
        <f>datos_tecnologia[[#This Row],[Cantidad]]*datos_tecnologia[[#This Row],[Precio_Unitario]]</f>
        <v>400</v>
      </c>
    </row>
    <row r="29" spans="1:8" x14ac:dyDescent="0.25">
      <c r="A29" s="2" t="s">
        <v>54</v>
      </c>
      <c r="B29" s="1">
        <v>46170</v>
      </c>
      <c r="C29" s="2" t="s">
        <v>98</v>
      </c>
      <c r="D29" s="2" t="s">
        <v>19</v>
      </c>
      <c r="E29" s="2">
        <v>2</v>
      </c>
      <c r="F29" s="2">
        <v>120</v>
      </c>
      <c r="G29" s="2" t="s">
        <v>20</v>
      </c>
      <c r="H29" s="2">
        <f>datos_tecnologia[[#This Row],[Cantidad]]*datos_tecnologia[[#This Row],[Precio_Unitario]]</f>
        <v>240</v>
      </c>
    </row>
    <row r="30" spans="1:8" x14ac:dyDescent="0.25">
      <c r="A30" s="2" t="s">
        <v>55</v>
      </c>
      <c r="B30" s="1">
        <v>46171</v>
      </c>
      <c r="C30" s="2" t="s">
        <v>99</v>
      </c>
      <c r="D30" s="2" t="s">
        <v>22</v>
      </c>
      <c r="E30" s="2">
        <v>1</v>
      </c>
      <c r="F30" s="2">
        <v>50</v>
      </c>
      <c r="G30" s="2" t="s">
        <v>81</v>
      </c>
      <c r="H30" s="2">
        <f>datos_tecnologia[[#This Row],[Cantidad]]*datos_tecnologia[[#This Row],[Precio_Unitario]]</f>
        <v>50</v>
      </c>
    </row>
    <row r="31" spans="1:8" x14ac:dyDescent="0.25">
      <c r="A31" s="2" t="s">
        <v>56</v>
      </c>
      <c r="B31" s="1">
        <v>46172</v>
      </c>
      <c r="C31" s="2" t="s">
        <v>100</v>
      </c>
      <c r="D31" s="2" t="s">
        <v>8</v>
      </c>
      <c r="E31" s="2">
        <v>1</v>
      </c>
      <c r="F31" s="2">
        <v>1200</v>
      </c>
      <c r="G31" s="2" t="s">
        <v>11</v>
      </c>
      <c r="H31" s="2">
        <f>datos_tecnologia[[#This Row],[Cantidad]]*datos_tecnologia[[#This Row],[Precio_Unitario]]</f>
        <v>1200</v>
      </c>
    </row>
    <row r="32" spans="1:8" x14ac:dyDescent="0.25">
      <c r="A32" s="2" t="s">
        <v>57</v>
      </c>
      <c r="B32" s="1">
        <v>46173</v>
      </c>
      <c r="C32" s="2" t="s">
        <v>58</v>
      </c>
      <c r="D32" s="2" t="s">
        <v>10</v>
      </c>
      <c r="E32" s="2">
        <v>2</v>
      </c>
      <c r="F32" s="2">
        <v>800</v>
      </c>
      <c r="G32" s="2" t="s">
        <v>14</v>
      </c>
      <c r="H32" s="2">
        <f>datos_tecnologia[[#This Row],[Cantidad]]*datos_tecnologia[[#This Row],[Precio_Unitario]]</f>
        <v>1600</v>
      </c>
    </row>
    <row r="33" spans="1:8" x14ac:dyDescent="0.25">
      <c r="A33" s="2" t="s">
        <v>59</v>
      </c>
      <c r="B33" s="1">
        <v>46174</v>
      </c>
      <c r="C33" s="2" t="s">
        <v>60</v>
      </c>
      <c r="D33" s="2" t="s">
        <v>13</v>
      </c>
      <c r="E33" s="2">
        <v>1</v>
      </c>
      <c r="F33" s="2">
        <v>150</v>
      </c>
      <c r="G33" s="2" t="s">
        <v>27</v>
      </c>
      <c r="H33" s="2">
        <f>datos_tecnologia[[#This Row],[Cantidad]]*datos_tecnologia[[#This Row],[Precio_Unitario]]</f>
        <v>150</v>
      </c>
    </row>
    <row r="34" spans="1:8" x14ac:dyDescent="0.25">
      <c r="A34" s="2" t="s">
        <v>61</v>
      </c>
      <c r="B34" s="1">
        <v>46175</v>
      </c>
      <c r="C34" s="2" t="s">
        <v>101</v>
      </c>
      <c r="D34" s="2" t="s">
        <v>16</v>
      </c>
      <c r="E34" s="2">
        <v>2</v>
      </c>
      <c r="F34" s="2">
        <v>400</v>
      </c>
      <c r="G34" s="2" t="s">
        <v>20</v>
      </c>
      <c r="H34" s="2">
        <f>datos_tecnologia[[#This Row],[Cantidad]]*datos_tecnologia[[#This Row],[Precio_Unitario]]</f>
        <v>800</v>
      </c>
    </row>
    <row r="35" spans="1:8" x14ac:dyDescent="0.25">
      <c r="A35" s="2" t="s">
        <v>62</v>
      </c>
      <c r="B35" s="1">
        <v>46176</v>
      </c>
      <c r="C35" s="2" t="s">
        <v>102</v>
      </c>
      <c r="D35" s="2" t="s">
        <v>19</v>
      </c>
      <c r="E35" s="2">
        <v>1</v>
      </c>
      <c r="F35" s="2">
        <v>120</v>
      </c>
      <c r="G35" s="2" t="s">
        <v>14</v>
      </c>
      <c r="H35" s="2">
        <f>datos_tecnologia[[#This Row],[Cantidad]]*datos_tecnologia[[#This Row],[Precio_Unitario]]</f>
        <v>120</v>
      </c>
    </row>
    <row r="36" spans="1:8" x14ac:dyDescent="0.25">
      <c r="A36" s="2" t="s">
        <v>63</v>
      </c>
      <c r="B36" s="1">
        <v>46177</v>
      </c>
      <c r="C36" s="2" t="s">
        <v>64</v>
      </c>
      <c r="D36" s="2" t="s">
        <v>22</v>
      </c>
      <c r="E36" s="2">
        <v>3</v>
      </c>
      <c r="F36" s="2">
        <v>50</v>
      </c>
      <c r="G36" s="2" t="s">
        <v>11</v>
      </c>
      <c r="H36" s="2">
        <f>datos_tecnologia[[#This Row],[Cantidad]]*datos_tecnologia[[#This Row],[Precio_Unitario]]</f>
        <v>150</v>
      </c>
    </row>
    <row r="37" spans="1:8" x14ac:dyDescent="0.25">
      <c r="A37" s="2" t="s">
        <v>65</v>
      </c>
      <c r="B37" s="1">
        <v>46178</v>
      </c>
      <c r="C37" s="2" t="s">
        <v>66</v>
      </c>
      <c r="D37" s="2" t="s">
        <v>8</v>
      </c>
      <c r="E37" s="2">
        <v>1</v>
      </c>
      <c r="F37" s="2">
        <v>1200</v>
      </c>
      <c r="G37" s="2" t="s">
        <v>81</v>
      </c>
      <c r="H37" s="2">
        <f>datos_tecnologia[[#This Row],[Cantidad]]*datos_tecnologia[[#This Row],[Precio_Unitario]]</f>
        <v>1200</v>
      </c>
    </row>
    <row r="38" spans="1:8" x14ac:dyDescent="0.25">
      <c r="A38" s="2" t="s">
        <v>67</v>
      </c>
      <c r="B38" s="1">
        <v>46179</v>
      </c>
      <c r="C38" s="2" t="s">
        <v>103</v>
      </c>
      <c r="D38" s="2" t="s">
        <v>10</v>
      </c>
      <c r="E38" s="2">
        <v>1</v>
      </c>
      <c r="F38" s="2">
        <v>800</v>
      </c>
      <c r="G38" s="2" t="s">
        <v>14</v>
      </c>
      <c r="H38" s="2">
        <f>datos_tecnologia[[#This Row],[Cantidad]]*datos_tecnologia[[#This Row],[Precio_Unitario]]</f>
        <v>800</v>
      </c>
    </row>
    <row r="39" spans="1:8" x14ac:dyDescent="0.25">
      <c r="A39" s="2" t="s">
        <v>68</v>
      </c>
      <c r="B39" s="1">
        <v>46180</v>
      </c>
      <c r="C39" s="2" t="s">
        <v>104</v>
      </c>
      <c r="D39" s="2" t="s">
        <v>13</v>
      </c>
      <c r="E39" s="2">
        <v>2</v>
      </c>
      <c r="F39" s="2">
        <v>150</v>
      </c>
      <c r="G39" s="2" t="s">
        <v>11</v>
      </c>
      <c r="H39" s="2">
        <f>datos_tecnologia[[#This Row],[Cantidad]]*datos_tecnologia[[#This Row],[Precio_Unitario]]</f>
        <v>300</v>
      </c>
    </row>
    <row r="40" spans="1:8" x14ac:dyDescent="0.25">
      <c r="A40" s="2" t="s">
        <v>69</v>
      </c>
      <c r="B40" s="1">
        <v>46181</v>
      </c>
      <c r="C40" s="2" t="s">
        <v>70</v>
      </c>
      <c r="D40" s="2" t="s">
        <v>16</v>
      </c>
      <c r="E40" s="2">
        <v>1</v>
      </c>
      <c r="F40" s="2">
        <v>400</v>
      </c>
      <c r="G40" s="2" t="s">
        <v>27</v>
      </c>
      <c r="H40" s="2">
        <f>datos_tecnologia[[#This Row],[Cantidad]]*datos_tecnologia[[#This Row],[Precio_Unitario]]</f>
        <v>400</v>
      </c>
    </row>
    <row r="41" spans="1:8" x14ac:dyDescent="0.25">
      <c r="A41" s="2" t="s">
        <v>71</v>
      </c>
      <c r="B41" s="1">
        <v>46182</v>
      </c>
      <c r="C41" s="2" t="s">
        <v>105</v>
      </c>
      <c r="D41" s="2" t="s">
        <v>19</v>
      </c>
      <c r="E41" s="2">
        <v>2</v>
      </c>
      <c r="F41" s="2">
        <v>120</v>
      </c>
      <c r="G41" s="2" t="s">
        <v>20</v>
      </c>
      <c r="H41" s="2">
        <f>datos_tecnologia[[#This Row],[Cantidad]]*datos_tecnologia[[#This Row],[Precio_Unitario]]</f>
        <v>240</v>
      </c>
    </row>
    <row r="42" spans="1:8" x14ac:dyDescent="0.25">
      <c r="A42" s="2" t="s">
        <v>72</v>
      </c>
      <c r="B42" s="1">
        <v>46183</v>
      </c>
      <c r="C42" s="2" t="s">
        <v>51</v>
      </c>
      <c r="D42" s="2" t="s">
        <v>13</v>
      </c>
      <c r="E42" s="2">
        <v>3</v>
      </c>
      <c r="F42" s="2">
        <v>150</v>
      </c>
      <c r="G42" s="2" t="s">
        <v>27</v>
      </c>
      <c r="H42" s="2">
        <f>datos_tecnologia[[#This Row],[Cantidad]]*datos_tecnologia[[#This Row],[Precio_Unitario]]</f>
        <v>450</v>
      </c>
    </row>
    <row r="43" spans="1:8" x14ac:dyDescent="0.25">
      <c r="A43" s="2" t="s">
        <v>73</v>
      </c>
      <c r="B43" s="1">
        <v>46184</v>
      </c>
      <c r="C43" s="2" t="s">
        <v>106</v>
      </c>
      <c r="D43" s="2" t="s">
        <v>22</v>
      </c>
      <c r="E43" s="2">
        <v>1</v>
      </c>
      <c r="F43" s="2">
        <v>50</v>
      </c>
      <c r="G43" s="2" t="s">
        <v>11</v>
      </c>
      <c r="H43" s="2">
        <f>datos_tecnologia[[#This Row],[Cantidad]]*datos_tecnologia[[#This Row],[Precio_Unitario]]</f>
        <v>50</v>
      </c>
    </row>
    <row r="44" spans="1:8" x14ac:dyDescent="0.25">
      <c r="A44" s="2" t="s">
        <v>74</v>
      </c>
      <c r="B44" s="1">
        <v>46185</v>
      </c>
      <c r="C44" s="2" t="s">
        <v>75</v>
      </c>
      <c r="D44" s="2" t="s">
        <v>8</v>
      </c>
      <c r="E44" s="2">
        <v>2</v>
      </c>
      <c r="F44" s="2">
        <v>1200</v>
      </c>
      <c r="G44" s="2" t="s">
        <v>14</v>
      </c>
      <c r="H44" s="2">
        <f>datos_tecnologia[[#This Row],[Cantidad]]*datos_tecnologia[[#This Row],[Precio_Unitario]]</f>
        <v>2400</v>
      </c>
    </row>
    <row r="45" spans="1:8" x14ac:dyDescent="0.25">
      <c r="A45" s="2" t="s">
        <v>76</v>
      </c>
      <c r="B45" s="1">
        <v>46186</v>
      </c>
      <c r="C45" s="2" t="s">
        <v>77</v>
      </c>
      <c r="D45" s="2" t="s">
        <v>10</v>
      </c>
      <c r="E45" s="2">
        <v>1</v>
      </c>
      <c r="F45" s="2">
        <v>800</v>
      </c>
      <c r="G45" s="2" t="s">
        <v>81</v>
      </c>
      <c r="H45" s="2">
        <f>datos_tecnologia[[#This Row],[Cantidad]]*datos_tecnologia[[#This Row],[Precio_Unitario]]</f>
        <v>800</v>
      </c>
    </row>
    <row r="46" spans="1:8" x14ac:dyDescent="0.25">
      <c r="A46" s="2" t="s">
        <v>78</v>
      </c>
      <c r="B46" s="1">
        <v>46187</v>
      </c>
      <c r="C46" s="2" t="s">
        <v>107</v>
      </c>
      <c r="D46" s="2" t="s">
        <v>13</v>
      </c>
      <c r="E46" s="2">
        <v>1</v>
      </c>
      <c r="F46" s="2">
        <v>150</v>
      </c>
      <c r="G46" s="2" t="s">
        <v>20</v>
      </c>
      <c r="H46" s="2">
        <f>datos_tecnologia[[#This Row],[Cantidad]]*datos_tecnologia[[#This Row],[Precio_Unitario]]</f>
        <v>150</v>
      </c>
    </row>
    <row r="47" spans="1:8" x14ac:dyDescent="0.25">
      <c r="A47" s="2" t="s">
        <v>79</v>
      </c>
      <c r="B47" s="1">
        <v>46188</v>
      </c>
      <c r="C47" s="2" t="s">
        <v>108</v>
      </c>
      <c r="D47" s="2" t="s">
        <v>16</v>
      </c>
      <c r="E47" s="2">
        <v>2</v>
      </c>
      <c r="F47" s="2">
        <v>400</v>
      </c>
      <c r="G47" s="2" t="s">
        <v>27</v>
      </c>
      <c r="H47" s="2">
        <f>datos_tecnologia[[#This Row],[Cantidad]]*datos_tecnologia[[#This Row],[Precio_Unitario]]</f>
        <v>800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363AD3E-B8F3-481F-9C75-B6B082AB3CF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Precio total y precio unitario</vt:lpstr>
      <vt:lpstr>Pais que mas compra</vt:lpstr>
      <vt:lpstr>Promedio de compra por pais</vt:lpstr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dcterms:created xsi:type="dcterms:W3CDTF">2026-06-19T14:10:57Z</dcterms:created>
  <dcterms:modified xsi:type="dcterms:W3CDTF">2026-06-19T15:08:22Z</dcterms:modified>
</cp:coreProperties>
</file>